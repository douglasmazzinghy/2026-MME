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uário\Dropbox\Eventos\MME\2026\"/>
    </mc:Choice>
  </mc:AlternateContent>
  <xr:revisionPtr revIDLastSave="0" documentId="13_ncr:1_{8B1E7E9E-B584-4346-92E2-710DADB0286D}" xr6:coauthVersionLast="47" xr6:coauthVersionMax="47" xr10:uidLastSave="{00000000-0000-0000-0000-000000000000}"/>
  <bookViews>
    <workbookView xWindow="-120" yWindow="2160" windowWidth="14535" windowHeight="13140" tabRatio="819" xr2:uid="{0EE39754-A309-4542-AD39-91A7D305D842}"/>
  </bookViews>
  <sheets>
    <sheet name="Solu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" i="1" l="1"/>
  <c r="Q5" i="1"/>
  <c r="Q6" i="1"/>
  <c r="Q7" i="1"/>
  <c r="Q8" i="1"/>
  <c r="Q9" i="1"/>
  <c r="Q10" i="1"/>
  <c r="Q11" i="1"/>
  <c r="Q12" i="1"/>
  <c r="Q13" i="1"/>
  <c r="Q3" i="1"/>
  <c r="F13" i="1"/>
  <c r="F4" i="1"/>
  <c r="F5" i="1"/>
  <c r="F6" i="1"/>
  <c r="F7" i="1"/>
  <c r="F8" i="1"/>
  <c r="F9" i="1"/>
  <c r="F10" i="1"/>
  <c r="F11" i="1"/>
  <c r="F12" i="1"/>
  <c r="F3" i="1"/>
  <c r="D4" i="1"/>
  <c r="D5" i="1"/>
  <c r="D6" i="1"/>
  <c r="D7" i="1"/>
  <c r="D8" i="1"/>
  <c r="D9" i="1"/>
  <c r="D10" i="1"/>
  <c r="D11" i="1"/>
  <c r="D12" i="1"/>
  <c r="D13" i="1"/>
  <c r="D3" i="1"/>
  <c r="M3" i="1"/>
  <c r="M4" i="1"/>
  <c r="M5" i="1"/>
  <c r="M6" i="1"/>
  <c r="M7" i="1"/>
  <c r="M8" i="1"/>
  <c r="M9" i="1"/>
  <c r="M10" i="1"/>
  <c r="M11" i="1"/>
  <c r="M12" i="1"/>
  <c r="M13" i="1"/>
  <c r="J4" i="1"/>
  <c r="J5" i="1"/>
  <c r="J6" i="1"/>
  <c r="J7" i="1"/>
  <c r="J8" i="1"/>
  <c r="J9" i="1"/>
  <c r="J10" i="1"/>
  <c r="J11" i="1"/>
  <c r="J12" i="1"/>
  <c r="J13" i="1"/>
  <c r="J3" i="1"/>
  <c r="H5" i="1"/>
  <c r="H6" i="1"/>
  <c r="H7" i="1"/>
  <c r="H8" i="1"/>
  <c r="H9" i="1"/>
  <c r="H10" i="1"/>
  <c r="H11" i="1"/>
  <c r="H12" i="1"/>
  <c r="H13" i="1"/>
  <c r="H4" i="1"/>
  <c r="H3" i="1"/>
</calcChain>
</file>

<file path=xl/sharedStrings.xml><?xml version="1.0" encoding="utf-8"?>
<sst xmlns="http://schemas.openxmlformats.org/spreadsheetml/2006/main" count="36" uniqueCount="24">
  <si>
    <t>Dataset</t>
  </si>
  <si>
    <t>newman1</t>
  </si>
  <si>
    <t>zuck_small</t>
  </si>
  <si>
    <t>kd</t>
  </si>
  <si>
    <t>zuck_medium</t>
  </si>
  <si>
    <t>p4hd</t>
  </si>
  <si>
    <t>marvin</t>
  </si>
  <si>
    <t>w23</t>
  </si>
  <si>
    <t>zuck_large</t>
  </si>
  <si>
    <t>sm2</t>
  </si>
  <si>
    <t>mclaughlin_limit</t>
  </si>
  <si>
    <t>mclaughlin</t>
  </si>
  <si>
    <t>MineLib</t>
  </si>
  <si>
    <t>Solution</t>
  </si>
  <si>
    <t>Gap (%)</t>
  </si>
  <si>
    <t>BKS</t>
  </si>
  <si>
    <t>SD-CPIT</t>
  </si>
  <si>
    <t>Time (min)</t>
  </si>
  <si>
    <t>Gap = 0.1%</t>
  </si>
  <si>
    <t>Jélvez et al., 2016 (1)</t>
  </si>
  <si>
    <t>Time (sec)</t>
  </si>
  <si>
    <t>Liu and Kozan, 2016 (2)</t>
  </si>
  <si>
    <t>UB</t>
  </si>
  <si>
    <t>Samavati et al., 2018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</si>
</sst>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4" fontId="1" fillId="4" borderId="1" xfId="0" applyNumberFormat="1" applyFont="1" applyFill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 wrapText="1"/>
    </xf>
    <xf numFmtId="0" fontId="1" fillId="5" borderId="0" xfId="0" applyFont="1" applyFill="1"/>
    <xf numFmtId="1" fontId="1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3" fontId="1" fillId="5" borderId="1" xfId="0" applyNumberFormat="1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D13BB-1C4B-4C35-97EA-BA2E06AD8BBD}">
  <dimension ref="A1:R17"/>
  <sheetViews>
    <sheetView showGridLines="0"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15" sqref="D15"/>
    </sheetView>
  </sheetViews>
  <sheetFormatPr defaultRowHeight="15" x14ac:dyDescent="0.25"/>
  <cols>
    <col min="1" max="1" width="24.140625" customWidth="1"/>
    <col min="2" max="2" width="16.140625" style="2" customWidth="1"/>
    <col min="3" max="3" width="15" style="2" customWidth="1"/>
    <col min="4" max="4" width="10" style="2" customWidth="1"/>
    <col min="5" max="5" width="22" style="2" customWidth="1"/>
    <col min="6" max="6" width="11.42578125" style="2" customWidth="1"/>
    <col min="7" max="9" width="10" style="2" hidden="1" customWidth="1"/>
    <col min="10" max="14" width="10" hidden="1" customWidth="1"/>
    <col min="15" max="15" width="2.42578125" customWidth="1"/>
    <col min="16" max="16" width="17.140625" customWidth="1"/>
    <col min="17" max="17" width="15.7109375" customWidth="1"/>
    <col min="18" max="18" width="10" customWidth="1"/>
  </cols>
  <sheetData>
    <row r="1" spans="1:18" x14ac:dyDescent="0.25">
      <c r="A1" s="16" t="s">
        <v>0</v>
      </c>
      <c r="B1" s="16" t="s">
        <v>22</v>
      </c>
      <c r="C1" s="16" t="s">
        <v>12</v>
      </c>
      <c r="D1" s="16"/>
      <c r="E1" s="16" t="s">
        <v>15</v>
      </c>
      <c r="F1" s="16"/>
      <c r="G1" s="16" t="s">
        <v>16</v>
      </c>
      <c r="H1" s="16"/>
      <c r="I1" s="16"/>
      <c r="L1" s="16" t="s">
        <v>16</v>
      </c>
      <c r="M1" s="16"/>
      <c r="N1" s="16"/>
      <c r="P1" s="16" t="s">
        <v>16</v>
      </c>
      <c r="Q1" s="16"/>
      <c r="R1" s="16"/>
    </row>
    <row r="2" spans="1:18" ht="30" x14ac:dyDescent="0.25">
      <c r="A2" s="16"/>
      <c r="B2" s="16"/>
      <c r="C2" s="3" t="s">
        <v>13</v>
      </c>
      <c r="D2" s="3" t="s">
        <v>14</v>
      </c>
      <c r="E2" s="3" t="s">
        <v>13</v>
      </c>
      <c r="F2" s="3" t="s">
        <v>14</v>
      </c>
      <c r="G2" s="3" t="s">
        <v>13</v>
      </c>
      <c r="H2" s="3" t="s">
        <v>14</v>
      </c>
      <c r="I2" s="3" t="s">
        <v>17</v>
      </c>
      <c r="J2" s="3" t="s">
        <v>20</v>
      </c>
      <c r="L2" s="3" t="s">
        <v>13</v>
      </c>
      <c r="M2" s="3" t="s">
        <v>14</v>
      </c>
      <c r="N2" s="3" t="s">
        <v>17</v>
      </c>
      <c r="O2" s="13"/>
      <c r="P2" s="3" t="s">
        <v>13</v>
      </c>
      <c r="Q2" s="3" t="s">
        <v>14</v>
      </c>
      <c r="R2" s="3" t="s">
        <v>17</v>
      </c>
    </row>
    <row r="3" spans="1:18" x14ac:dyDescent="0.25">
      <c r="A3" s="1" t="s">
        <v>1</v>
      </c>
      <c r="B3" s="17">
        <v>24486184</v>
      </c>
      <c r="C3" s="17">
        <v>23483671</v>
      </c>
      <c r="D3" s="8">
        <f>(B3-C3)/C3*100</f>
        <v>4.2689790706061244</v>
      </c>
      <c r="E3" s="21">
        <v>24173521</v>
      </c>
      <c r="F3" s="8">
        <f>(B3-E3)/E3*100</f>
        <v>1.2934110839707629</v>
      </c>
      <c r="G3" s="4">
        <v>24.172563</v>
      </c>
      <c r="H3" s="8">
        <f>($B3-G3)/$B3*100</f>
        <v>99.999901280807975</v>
      </c>
      <c r="I3" s="7">
        <v>0.01</v>
      </c>
      <c r="J3" s="12">
        <f>I3*60</f>
        <v>0.6</v>
      </c>
      <c r="L3" s="4">
        <v>24.172563</v>
      </c>
      <c r="M3" s="8">
        <f t="shared" ref="M3:M12" si="0">($B3-L3)/$B3*100</f>
        <v>99.999901280807975</v>
      </c>
      <c r="N3" s="4">
        <v>0.01</v>
      </c>
      <c r="O3" s="14"/>
      <c r="P3" s="17">
        <v>24172563</v>
      </c>
      <c r="Q3" s="8">
        <f>($B3-P3)/$P3*100</f>
        <v>1.2974255150353731</v>
      </c>
      <c r="R3" s="4">
        <v>0.01</v>
      </c>
    </row>
    <row r="4" spans="1:18" x14ac:dyDescent="0.25">
      <c r="A4" s="1" t="s">
        <v>2</v>
      </c>
      <c r="B4" s="17">
        <v>854182396</v>
      </c>
      <c r="C4" s="17">
        <v>788652600</v>
      </c>
      <c r="D4" s="8">
        <f t="shared" ref="D4:D13" si="1">(B4-C4)/C4*100</f>
        <v>8.3090826049391087</v>
      </c>
      <c r="E4" s="19">
        <v>848112016</v>
      </c>
      <c r="F4" s="8">
        <f t="shared" ref="F4:F12" si="2">(B4-E4)/E4*100</f>
        <v>0.71575215130544745</v>
      </c>
      <c r="G4" s="4">
        <v>845.51287400000001</v>
      </c>
      <c r="H4" s="8">
        <f>($B4-G4)/$B4*100</f>
        <v>99.999901014949742</v>
      </c>
      <c r="I4" s="7">
        <v>1.01</v>
      </c>
      <c r="J4" s="12">
        <f t="shared" ref="J4:J13" si="3">I4*60</f>
        <v>60.6</v>
      </c>
      <c r="L4" s="4">
        <v>849.18</v>
      </c>
      <c r="M4" s="15">
        <f t="shared" si="0"/>
        <v>99.999900585635586</v>
      </c>
      <c r="N4" s="4">
        <v>1.92</v>
      </c>
      <c r="O4" s="14"/>
      <c r="P4" s="18">
        <v>849176553</v>
      </c>
      <c r="Q4" s="15">
        <f t="shared" ref="Q4:Q13" si="4">($B4-P4)/$P4*100</f>
        <v>0.58949378457461954</v>
      </c>
      <c r="R4" s="4">
        <v>1.83</v>
      </c>
    </row>
    <row r="5" spans="1:18" x14ac:dyDescent="0.25">
      <c r="A5" s="1" t="s">
        <v>3</v>
      </c>
      <c r="B5" s="17">
        <v>409498555</v>
      </c>
      <c r="C5" s="17">
        <v>396858193</v>
      </c>
      <c r="D5" s="8">
        <f t="shared" si="1"/>
        <v>3.1851079864187155</v>
      </c>
      <c r="E5" s="19">
        <v>408923283</v>
      </c>
      <c r="F5" s="8">
        <f t="shared" si="2"/>
        <v>0.14067968832188019</v>
      </c>
      <c r="G5" s="4">
        <v>407.60987</v>
      </c>
      <c r="H5" s="8">
        <f t="shared" ref="H5:H13" si="5">($B5-G5)/$B5*100</f>
        <v>99.999900461218957</v>
      </c>
      <c r="I5" s="7">
        <v>2.0099999999999998</v>
      </c>
      <c r="J5" s="12">
        <f t="shared" si="3"/>
        <v>120.6</v>
      </c>
      <c r="L5" s="4">
        <v>409.106516</v>
      </c>
      <c r="M5" s="15">
        <f t="shared" si="0"/>
        <v>99.999900095736365</v>
      </c>
      <c r="N5" s="4">
        <v>22.33</v>
      </c>
      <c r="O5" s="14"/>
      <c r="P5" s="18">
        <v>409106516</v>
      </c>
      <c r="Q5" s="15">
        <f t="shared" si="4"/>
        <v>9.5828099692257168E-2</v>
      </c>
      <c r="R5" s="4">
        <v>21.91</v>
      </c>
    </row>
    <row r="6" spans="1:18" x14ac:dyDescent="0.25">
      <c r="A6" s="1" t="s">
        <v>4</v>
      </c>
      <c r="B6" s="17">
        <v>710641410</v>
      </c>
      <c r="C6" s="17">
        <v>615411415</v>
      </c>
      <c r="D6" s="8">
        <f t="shared" si="1"/>
        <v>15.474200295748494</v>
      </c>
      <c r="E6" s="19">
        <v>673426719</v>
      </c>
      <c r="F6" s="8">
        <f t="shared" si="2"/>
        <v>5.5261678739539288</v>
      </c>
      <c r="G6" s="4">
        <v>664.70541500000002</v>
      </c>
      <c r="H6" s="8">
        <f t="shared" si="5"/>
        <v>99.999906464018892</v>
      </c>
      <c r="I6" s="7">
        <v>26.9</v>
      </c>
      <c r="J6" s="12">
        <f t="shared" si="3"/>
        <v>1614</v>
      </c>
      <c r="L6" s="4">
        <v>669.48</v>
      </c>
      <c r="M6" s="8">
        <f t="shared" si="0"/>
        <v>99.999905792149093</v>
      </c>
      <c r="N6" s="4">
        <v>32.04</v>
      </c>
      <c r="O6" s="14"/>
      <c r="P6" s="17">
        <v>670812054</v>
      </c>
      <c r="Q6" s="8">
        <f t="shared" si="4"/>
        <v>5.937483645754523</v>
      </c>
      <c r="R6" s="4">
        <v>30.39</v>
      </c>
    </row>
    <row r="7" spans="1:18" x14ac:dyDescent="0.25">
      <c r="A7" s="1" t="s">
        <v>5</v>
      </c>
      <c r="B7" s="17">
        <v>247415730</v>
      </c>
      <c r="C7" s="17">
        <v>246138696</v>
      </c>
      <c r="D7" s="8">
        <f t="shared" si="1"/>
        <v>0.51882699500447504</v>
      </c>
      <c r="E7" s="20">
        <v>247206003</v>
      </c>
      <c r="F7" s="8">
        <f t="shared" si="2"/>
        <v>8.4838959189838123E-2</v>
      </c>
      <c r="G7" s="4">
        <v>246.62920500000001</v>
      </c>
      <c r="H7" s="8">
        <f t="shared" si="5"/>
        <v>99.99990031789612</v>
      </c>
      <c r="I7" s="7">
        <v>2.81</v>
      </c>
      <c r="J7" s="12">
        <f t="shared" si="3"/>
        <v>168.6</v>
      </c>
      <c r="L7" s="4">
        <v>247.40679900000001</v>
      </c>
      <c r="M7" s="15">
        <f t="shared" si="0"/>
        <v>99.999900003609724</v>
      </c>
      <c r="N7" s="4">
        <v>2.78</v>
      </c>
      <c r="O7" s="14"/>
      <c r="P7" s="18">
        <v>247406799</v>
      </c>
      <c r="Q7" s="15">
        <f t="shared" si="4"/>
        <v>3.6098442064237692E-3</v>
      </c>
      <c r="R7" s="4">
        <v>4.17</v>
      </c>
    </row>
    <row r="8" spans="1:18" x14ac:dyDescent="0.25">
      <c r="A8" s="1" t="s">
        <v>6</v>
      </c>
      <c r="B8" s="17">
        <v>863916131</v>
      </c>
      <c r="C8" s="17">
        <v>820726048</v>
      </c>
      <c r="D8" s="8">
        <f t="shared" si="1"/>
        <v>5.2624238142859578</v>
      </c>
      <c r="E8" s="19">
        <v>858409310</v>
      </c>
      <c r="F8" s="8">
        <f t="shared" si="2"/>
        <v>0.64151459401110178</v>
      </c>
      <c r="G8" s="4">
        <v>853.66041700000005</v>
      </c>
      <c r="H8" s="8">
        <f t="shared" si="5"/>
        <v>99.999901187119178</v>
      </c>
      <c r="I8" s="7">
        <v>2.19</v>
      </c>
      <c r="J8" s="12">
        <f t="shared" si="3"/>
        <v>131.4</v>
      </c>
      <c r="L8" s="4">
        <v>856.21786399999996</v>
      </c>
      <c r="M8" s="8">
        <f t="shared" si="0"/>
        <v>99.999900891089624</v>
      </c>
      <c r="N8" s="4">
        <v>1.7</v>
      </c>
      <c r="O8" s="14"/>
      <c r="P8" s="17">
        <v>856217864</v>
      </c>
      <c r="Q8" s="8">
        <f t="shared" si="4"/>
        <v>0.89910142309294305</v>
      </c>
      <c r="R8" s="4">
        <v>3.4</v>
      </c>
    </row>
    <row r="9" spans="1:18" x14ac:dyDescent="0.25">
      <c r="A9" s="1" t="s">
        <v>7</v>
      </c>
      <c r="B9" s="17">
        <v>400653199</v>
      </c>
      <c r="C9" s="17">
        <v>392226063</v>
      </c>
      <c r="D9" s="8">
        <f t="shared" si="1"/>
        <v>2.1485405471385008</v>
      </c>
      <c r="E9" s="20">
        <v>399909961</v>
      </c>
      <c r="F9" s="8">
        <f t="shared" si="2"/>
        <v>0.18585133467080606</v>
      </c>
      <c r="G9" s="4">
        <v>395.05629399999998</v>
      </c>
      <c r="H9" s="8">
        <f t="shared" si="5"/>
        <v>99.999901396945035</v>
      </c>
      <c r="I9" s="7">
        <v>7.99</v>
      </c>
      <c r="J9" s="12">
        <f t="shared" si="3"/>
        <v>479.40000000000003</v>
      </c>
      <c r="L9" s="4">
        <v>397.2953</v>
      </c>
      <c r="M9" s="8">
        <f t="shared" si="0"/>
        <v>99.999900838106129</v>
      </c>
      <c r="N9" s="4">
        <v>10.89</v>
      </c>
      <c r="O9" s="14"/>
      <c r="P9" s="17">
        <v>397295300</v>
      </c>
      <c r="Q9" s="8">
        <f t="shared" si="4"/>
        <v>0.84518971153195122</v>
      </c>
      <c r="R9" s="4">
        <v>15.96</v>
      </c>
    </row>
    <row r="10" spans="1:18" x14ac:dyDescent="0.25">
      <c r="A10" s="1" t="s">
        <v>8</v>
      </c>
      <c r="B10" s="17">
        <v>57389094</v>
      </c>
      <c r="C10" s="17">
        <v>56777190</v>
      </c>
      <c r="D10" s="8">
        <f t="shared" si="1"/>
        <v>1.0777285737459004</v>
      </c>
      <c r="E10" s="21">
        <v>57253697</v>
      </c>
      <c r="F10" s="8">
        <f t="shared" si="2"/>
        <v>0.23648603862209983</v>
      </c>
      <c r="G10" s="4">
        <v>57.191429999999997</v>
      </c>
      <c r="H10" s="8">
        <f t="shared" si="5"/>
        <v>99.9999003444278</v>
      </c>
      <c r="I10" s="7">
        <v>90.77</v>
      </c>
      <c r="J10" s="12">
        <f t="shared" si="3"/>
        <v>5446.2</v>
      </c>
      <c r="L10" s="4">
        <v>57.279770999999997</v>
      </c>
      <c r="M10" s="15">
        <f t="shared" si="0"/>
        <v>99.999900190494387</v>
      </c>
      <c r="N10" s="4">
        <v>161.78</v>
      </c>
      <c r="O10" s="14"/>
      <c r="P10" s="18">
        <v>57277015</v>
      </c>
      <c r="Q10" s="15">
        <f t="shared" si="4"/>
        <v>0.19567884255141441</v>
      </c>
      <c r="R10" s="4">
        <v>207.47</v>
      </c>
    </row>
    <row r="11" spans="1:18" x14ac:dyDescent="0.25">
      <c r="A11" s="1" t="s">
        <v>9</v>
      </c>
      <c r="B11" s="17">
        <v>1648051083</v>
      </c>
      <c r="C11" s="17">
        <v>1645242774</v>
      </c>
      <c r="D11" s="8">
        <f t="shared" si="1"/>
        <v>0.17069268100611637</v>
      </c>
      <c r="E11" s="21">
        <v>1646784822</v>
      </c>
      <c r="F11" s="8">
        <f t="shared" si="2"/>
        <v>7.6892923901383872E-2</v>
      </c>
      <c r="G11" s="9">
        <v>1646.3624609999999</v>
      </c>
      <c r="H11" s="10">
        <f t="shared" si="5"/>
        <v>99.999900102461751</v>
      </c>
      <c r="I11" s="10">
        <v>0.8</v>
      </c>
      <c r="J11" s="12">
        <f t="shared" si="3"/>
        <v>48</v>
      </c>
      <c r="L11" s="4">
        <v>1646.5690340000001</v>
      </c>
      <c r="M11" s="8">
        <f t="shared" si="0"/>
        <v>99.999900089927365</v>
      </c>
      <c r="N11" s="4">
        <v>0.77</v>
      </c>
      <c r="O11" s="14"/>
      <c r="P11" s="17">
        <v>1646568880</v>
      </c>
      <c r="Q11" s="8">
        <f t="shared" si="4"/>
        <v>9.001767360014723E-2</v>
      </c>
      <c r="R11" s="4">
        <v>0.9</v>
      </c>
    </row>
    <row r="12" spans="1:18" x14ac:dyDescent="0.25">
      <c r="A12" s="1" t="s">
        <v>10</v>
      </c>
      <c r="B12" s="17">
        <v>1078979501</v>
      </c>
      <c r="C12" s="17">
        <v>1073327197</v>
      </c>
      <c r="D12" s="8">
        <f t="shared" si="1"/>
        <v>0.52661518461457557</v>
      </c>
      <c r="E12" s="19">
        <v>1078316053</v>
      </c>
      <c r="F12" s="8">
        <f t="shared" si="2"/>
        <v>6.1526302808365962E-2</v>
      </c>
      <c r="G12" s="4">
        <v>1075.8163970000001</v>
      </c>
      <c r="H12" s="8">
        <f t="shared" si="5"/>
        <v>99.999900293157012</v>
      </c>
      <c r="I12" s="7">
        <v>31.07</v>
      </c>
      <c r="J12" s="12">
        <f t="shared" si="3"/>
        <v>1864.2</v>
      </c>
      <c r="L12" s="4">
        <v>1078.67</v>
      </c>
      <c r="M12" s="15">
        <f t="shared" si="0"/>
        <v>99.999900028684593</v>
      </c>
      <c r="N12" s="4">
        <v>53.91</v>
      </c>
      <c r="O12" s="14"/>
      <c r="P12" s="18">
        <v>1078668779</v>
      </c>
      <c r="Q12" s="15">
        <f t="shared" si="4"/>
        <v>2.8806062254630251E-2</v>
      </c>
      <c r="R12" s="4">
        <v>76.92</v>
      </c>
    </row>
    <row r="13" spans="1:18" x14ac:dyDescent="0.25">
      <c r="A13" s="1" t="s">
        <v>11</v>
      </c>
      <c r="B13" s="17">
        <v>1079024268</v>
      </c>
      <c r="C13" s="17">
        <v>1073530279</v>
      </c>
      <c r="D13" s="8">
        <f t="shared" si="1"/>
        <v>0.5117684249314034</v>
      </c>
      <c r="E13" s="19">
        <v>1078419238</v>
      </c>
      <c r="F13" s="8">
        <f>(B13-E13)/E13*100</f>
        <v>5.6103413095826088E-2</v>
      </c>
      <c r="G13" s="4">
        <v>1075.907539</v>
      </c>
      <c r="H13" s="8">
        <f t="shared" si="5"/>
        <v>99.999900288846987</v>
      </c>
      <c r="I13" s="8">
        <v>164.35</v>
      </c>
      <c r="J13" s="12">
        <f t="shared" si="3"/>
        <v>9861</v>
      </c>
      <c r="L13" s="4">
        <v>1078.7128110000001</v>
      </c>
      <c r="M13" s="15">
        <f t="shared" ref="M13" si="6">($B13-L13)/$B13*100</f>
        <v>99.999900028864687</v>
      </c>
      <c r="N13" s="4">
        <v>156.03</v>
      </c>
      <c r="O13" s="14"/>
      <c r="P13" s="18">
        <v>1078712761</v>
      </c>
      <c r="Q13" s="15">
        <f t="shared" si="4"/>
        <v>2.8877659675706758E-2</v>
      </c>
      <c r="R13" s="4">
        <v>205.5</v>
      </c>
    </row>
    <row r="15" spans="1:18" ht="15.95" customHeight="1" x14ac:dyDescent="0.25">
      <c r="A15" s="5" t="s">
        <v>19</v>
      </c>
      <c r="G15" s="9" t="s">
        <v>18</v>
      </c>
    </row>
    <row r="16" spans="1:18" x14ac:dyDescent="0.25">
      <c r="A16" s="6" t="s">
        <v>21</v>
      </c>
    </row>
    <row r="17" spans="1:1" x14ac:dyDescent="0.25">
      <c r="A17" s="11" t="s">
        <v>23</v>
      </c>
    </row>
  </sheetData>
  <mergeCells count="7">
    <mergeCell ref="P1:R1"/>
    <mergeCell ref="A1:A2"/>
    <mergeCell ref="L1:N1"/>
    <mergeCell ref="C1:D1"/>
    <mergeCell ref="E1:F1"/>
    <mergeCell ref="G1:I1"/>
    <mergeCell ref="B1:B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mazzinghy</dc:creator>
  <cp:lastModifiedBy>Marcone Jamilson Freitas Souza</cp:lastModifiedBy>
  <dcterms:created xsi:type="dcterms:W3CDTF">2025-12-23T14:26:56Z</dcterms:created>
  <dcterms:modified xsi:type="dcterms:W3CDTF">2026-08-20T18:49:45Z</dcterms:modified>
</cp:coreProperties>
</file>