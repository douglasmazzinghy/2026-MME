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ugl\Dropbox\Douglas-UFMG\Coding\2026-MME\"/>
    </mc:Choice>
  </mc:AlternateContent>
  <xr:revisionPtr revIDLastSave="0" documentId="13_ncr:1_{2AE293FA-104E-4708-871C-688751579DF1}" xr6:coauthVersionLast="47" xr6:coauthVersionMax="47" xr10:uidLastSave="{00000000-0000-0000-0000-000000000000}"/>
  <bookViews>
    <workbookView xWindow="19090" yWindow="-110" windowWidth="19420" windowHeight="10300" tabRatio="819" xr2:uid="{0EE39754-A309-4542-AD39-91A7D305D842}"/>
  </bookViews>
  <sheets>
    <sheet name="Solut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" i="1" l="1"/>
  <c r="Q5" i="1"/>
  <c r="Q6" i="1"/>
  <c r="Q7" i="1"/>
  <c r="Q8" i="1"/>
  <c r="Q9" i="1"/>
  <c r="Q10" i="1"/>
  <c r="Q11" i="1"/>
  <c r="Q12" i="1"/>
  <c r="Q13" i="1"/>
  <c r="Q3" i="1"/>
  <c r="F13" i="1"/>
  <c r="F4" i="1"/>
  <c r="F5" i="1"/>
  <c r="F6" i="1"/>
  <c r="F7" i="1"/>
  <c r="F8" i="1"/>
  <c r="F9" i="1"/>
  <c r="F10" i="1"/>
  <c r="F11" i="1"/>
  <c r="F12" i="1"/>
  <c r="F3" i="1"/>
  <c r="D4" i="1"/>
  <c r="D5" i="1"/>
  <c r="D6" i="1"/>
  <c r="D7" i="1"/>
  <c r="D8" i="1"/>
  <c r="D9" i="1"/>
  <c r="D10" i="1"/>
  <c r="D11" i="1"/>
  <c r="D12" i="1"/>
  <c r="D13" i="1"/>
  <c r="D3" i="1"/>
  <c r="M3" i="1"/>
  <c r="M4" i="1"/>
  <c r="M5" i="1"/>
  <c r="M6" i="1"/>
  <c r="M7" i="1"/>
  <c r="M8" i="1"/>
  <c r="M9" i="1"/>
  <c r="M10" i="1"/>
  <c r="M11" i="1"/>
  <c r="M12" i="1"/>
  <c r="M13" i="1"/>
  <c r="J4" i="1"/>
  <c r="J5" i="1"/>
  <c r="J6" i="1"/>
  <c r="J7" i="1"/>
  <c r="J8" i="1"/>
  <c r="J9" i="1"/>
  <c r="J10" i="1"/>
  <c r="J11" i="1"/>
  <c r="J12" i="1"/>
  <c r="J13" i="1"/>
  <c r="J3" i="1"/>
  <c r="H5" i="1"/>
  <c r="H6" i="1"/>
  <c r="H7" i="1"/>
  <c r="H8" i="1"/>
  <c r="H9" i="1"/>
  <c r="H10" i="1"/>
  <c r="H11" i="1"/>
  <c r="H12" i="1"/>
  <c r="H13" i="1"/>
  <c r="H4" i="1"/>
  <c r="H3" i="1"/>
</calcChain>
</file>

<file path=xl/sharedStrings.xml><?xml version="1.0" encoding="utf-8"?>
<sst xmlns="http://schemas.openxmlformats.org/spreadsheetml/2006/main" count="37" uniqueCount="25">
  <si>
    <t>Dataset</t>
  </si>
  <si>
    <t>LP_UB</t>
  </si>
  <si>
    <t>newman1</t>
  </si>
  <si>
    <t>zuck_small</t>
  </si>
  <si>
    <t>kd</t>
  </si>
  <si>
    <t>zuck_medium</t>
  </si>
  <si>
    <t>p4hd</t>
  </si>
  <si>
    <t>marvin</t>
  </si>
  <si>
    <t>w23</t>
  </si>
  <si>
    <t>zuck_large</t>
  </si>
  <si>
    <t>sm2</t>
  </si>
  <si>
    <t>mclaughlin_limit</t>
  </si>
  <si>
    <t>mclaughlin</t>
  </si>
  <si>
    <t>MineLib</t>
  </si>
  <si>
    <t>Solution</t>
  </si>
  <si>
    <t>Gap (%)</t>
  </si>
  <si>
    <t>BKS</t>
  </si>
  <si>
    <t>SD-CPIT</t>
  </si>
  <si>
    <t>Time (min)</t>
  </si>
  <si>
    <t>Gap = 0.1%</t>
  </si>
  <si>
    <t>Jélvez et al., 2016 (1)</t>
  </si>
  <si>
    <t>Liu et al., 2016 (2)</t>
  </si>
  <si>
    <t>Samavati et al., 2017 (3)</t>
  </si>
  <si>
    <t>Samavati et al., 2018 (4)</t>
  </si>
  <si>
    <t>Time (sec)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</si>
</sst>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4" fontId="1" fillId="2" borderId="1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4" fontId="1" fillId="3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4" fontId="1" fillId="4" borderId="1" xfId="0" applyNumberFormat="1" applyFont="1" applyFill="1" applyBorder="1" applyAlignment="1">
      <alignment horizontal="center" vertical="center" wrapText="1"/>
    </xf>
    <xf numFmtId="0" fontId="1" fillId="4" borderId="0" xfId="0" applyFont="1" applyFill="1"/>
    <xf numFmtId="4" fontId="1" fillId="5" borderId="1" xfId="0" applyNumberFormat="1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 wrapText="1"/>
    </xf>
    <xf numFmtId="4" fontId="1" fillId="6" borderId="1" xfId="0" applyNumberFormat="1" applyFont="1" applyFill="1" applyBorder="1" applyAlignment="1">
      <alignment horizontal="center" vertical="center" wrapText="1"/>
    </xf>
    <xf numFmtId="0" fontId="1" fillId="6" borderId="0" xfId="0" applyFont="1" applyFill="1"/>
    <xf numFmtId="1" fontId="1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D13BB-1C4B-4C35-97EA-BA2E06AD8BBD}">
  <dimension ref="A1:R18"/>
  <sheetViews>
    <sheetView showGridLines="0"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6" sqref="F16"/>
    </sheetView>
  </sheetViews>
  <sheetFormatPr defaultRowHeight="14.4" x14ac:dyDescent="0.3"/>
  <cols>
    <col min="1" max="1" width="24.109375" customWidth="1"/>
    <col min="2" max="2" width="10.88671875" style="2" customWidth="1"/>
    <col min="3" max="6" width="10" style="2" customWidth="1"/>
    <col min="7" max="9" width="10" style="2" hidden="1" customWidth="1"/>
    <col min="10" max="15" width="10" hidden="1" customWidth="1"/>
    <col min="16" max="18" width="10" customWidth="1"/>
  </cols>
  <sheetData>
    <row r="1" spans="1:18" x14ac:dyDescent="0.3">
      <c r="A1" s="21" t="s">
        <v>0</v>
      </c>
      <c r="B1" s="21" t="s">
        <v>1</v>
      </c>
      <c r="C1" s="21" t="s">
        <v>13</v>
      </c>
      <c r="D1" s="21"/>
      <c r="E1" s="21" t="s">
        <v>16</v>
      </c>
      <c r="F1" s="21"/>
      <c r="G1" s="21" t="s">
        <v>17</v>
      </c>
      <c r="H1" s="21"/>
      <c r="I1" s="21"/>
      <c r="L1" s="21" t="s">
        <v>17</v>
      </c>
      <c r="M1" s="21"/>
      <c r="N1" s="21"/>
      <c r="P1" s="21" t="s">
        <v>17</v>
      </c>
      <c r="Q1" s="21"/>
      <c r="R1" s="21"/>
    </row>
    <row r="2" spans="1:18" ht="27.6" x14ac:dyDescent="0.3">
      <c r="A2" s="21"/>
      <c r="B2" s="21"/>
      <c r="C2" s="3" t="s">
        <v>14</v>
      </c>
      <c r="D2" s="3" t="s">
        <v>15</v>
      </c>
      <c r="E2" s="3" t="s">
        <v>14</v>
      </c>
      <c r="F2" s="3" t="s">
        <v>15</v>
      </c>
      <c r="G2" s="3" t="s">
        <v>14</v>
      </c>
      <c r="H2" s="3" t="s">
        <v>15</v>
      </c>
      <c r="I2" s="3" t="s">
        <v>18</v>
      </c>
      <c r="J2" s="3" t="s">
        <v>24</v>
      </c>
      <c r="L2" s="3" t="s">
        <v>14</v>
      </c>
      <c r="M2" s="3" t="s">
        <v>15</v>
      </c>
      <c r="N2" s="3" t="s">
        <v>18</v>
      </c>
      <c r="O2" s="18"/>
      <c r="P2" s="3" t="s">
        <v>14</v>
      </c>
      <c r="Q2" s="3" t="s">
        <v>15</v>
      </c>
      <c r="R2" s="3" t="s">
        <v>18</v>
      </c>
    </row>
    <row r="3" spans="1:18" x14ac:dyDescent="0.3">
      <c r="A3" s="1" t="s">
        <v>2</v>
      </c>
      <c r="B3" s="4">
        <v>24.489184000000002</v>
      </c>
      <c r="C3" s="4">
        <v>23.483671000000001</v>
      </c>
      <c r="D3" s="10">
        <f>(B3-C3)/C3*100</f>
        <v>4.2817539046599675</v>
      </c>
      <c r="E3" s="11">
        <v>24.180620281600003</v>
      </c>
      <c r="F3" s="10">
        <f>(B3-E3)/E3*100</f>
        <v>1.2760785902369798</v>
      </c>
      <c r="G3" s="4">
        <v>24.172563</v>
      </c>
      <c r="H3" s="10">
        <f>($B3-G3)/$B3*100</f>
        <v>1.2929013886293694</v>
      </c>
      <c r="I3" s="9">
        <v>0.01</v>
      </c>
      <c r="J3" s="17">
        <f>I3*60</f>
        <v>0.6</v>
      </c>
      <c r="L3" s="4">
        <v>24.172563</v>
      </c>
      <c r="M3" s="10">
        <f t="shared" ref="M3:M12" si="0">($B3-L3)/$B3*100</f>
        <v>1.2929013886293694</v>
      </c>
      <c r="N3" s="4">
        <v>0.01</v>
      </c>
      <c r="O3" s="19"/>
      <c r="P3" s="4">
        <v>24.172563</v>
      </c>
      <c r="Q3" s="10">
        <f>($B3-P3)/$P3*100</f>
        <v>1.3098362800833381</v>
      </c>
      <c r="R3" s="4">
        <v>0.01</v>
      </c>
    </row>
    <row r="4" spans="1:18" x14ac:dyDescent="0.3">
      <c r="A4" s="1" t="s">
        <v>3</v>
      </c>
      <c r="B4" s="4">
        <v>854.18239600000004</v>
      </c>
      <c r="C4" s="4">
        <v>788.65260000000001</v>
      </c>
      <c r="D4" s="10">
        <f t="shared" ref="D4:D13" si="1">(B4-C4)/C4*100</f>
        <v>8.3090826049391122</v>
      </c>
      <c r="E4" s="15">
        <v>848.11201600000004</v>
      </c>
      <c r="F4" s="10">
        <f t="shared" ref="F4:F12" si="2">(B4-E4)/E4*100</f>
        <v>0.71575215130544734</v>
      </c>
      <c r="G4" s="4">
        <v>845.51287400000001</v>
      </c>
      <c r="H4" s="10">
        <f>($B4-G4)/$B4*100</f>
        <v>1.0149497391421338</v>
      </c>
      <c r="I4" s="9">
        <v>1.01</v>
      </c>
      <c r="J4" s="17">
        <f t="shared" ref="J4:J13" si="3">I4*60</f>
        <v>60.6</v>
      </c>
      <c r="L4" s="4">
        <v>849.18</v>
      </c>
      <c r="M4" s="20">
        <f t="shared" si="0"/>
        <v>0.58563557659646381</v>
      </c>
      <c r="N4" s="4">
        <v>1.92</v>
      </c>
      <c r="O4" s="19"/>
      <c r="P4" s="22">
        <v>849.17655300000001</v>
      </c>
      <c r="Q4" s="20">
        <f t="shared" ref="Q4:Q13" si="4">($B4-P4)/$P4*100</f>
        <v>0.58949378457462276</v>
      </c>
      <c r="R4" s="4">
        <v>1.83</v>
      </c>
    </row>
    <row r="5" spans="1:18" x14ac:dyDescent="0.3">
      <c r="A5" s="1" t="s">
        <v>4</v>
      </c>
      <c r="B5" s="4">
        <v>409.49855500000001</v>
      </c>
      <c r="C5" s="4">
        <v>396.85819300000003</v>
      </c>
      <c r="D5" s="10">
        <f t="shared" si="1"/>
        <v>3.1851079864187106</v>
      </c>
      <c r="E5" s="15">
        <v>408.92328300000003</v>
      </c>
      <c r="F5" s="10">
        <f t="shared" si="2"/>
        <v>0.14067968832187625</v>
      </c>
      <c r="G5" s="4">
        <v>407.60987</v>
      </c>
      <c r="H5" s="10">
        <f t="shared" ref="H5:H13" si="5">($B5-G5)/$B5*100</f>
        <v>0.46121896571772014</v>
      </c>
      <c r="I5" s="9">
        <v>2.0099999999999998</v>
      </c>
      <c r="J5" s="17">
        <f t="shared" si="3"/>
        <v>120.6</v>
      </c>
      <c r="L5" s="4">
        <v>409.106516</v>
      </c>
      <c r="M5" s="20">
        <f t="shared" si="0"/>
        <v>9.5736357360286933E-2</v>
      </c>
      <c r="N5" s="4">
        <v>22.33</v>
      </c>
      <c r="O5" s="19"/>
      <c r="P5" s="22">
        <v>409.106516</v>
      </c>
      <c r="Q5" s="20">
        <f t="shared" si="4"/>
        <v>9.5828099692259888E-2</v>
      </c>
      <c r="R5" s="4">
        <v>21.91</v>
      </c>
    </row>
    <row r="6" spans="1:18" x14ac:dyDescent="0.3">
      <c r="A6" s="1" t="s">
        <v>5</v>
      </c>
      <c r="B6" s="4">
        <v>710.64140999999995</v>
      </c>
      <c r="C6" s="4">
        <v>615.41141500000003</v>
      </c>
      <c r="D6" s="10">
        <f t="shared" si="1"/>
        <v>15.47420029574848</v>
      </c>
      <c r="E6" s="15">
        <v>673.42671900000005</v>
      </c>
      <c r="F6" s="10">
        <f t="shared" si="2"/>
        <v>5.5261678739539137</v>
      </c>
      <c r="G6" s="4">
        <v>664.70541500000002</v>
      </c>
      <c r="H6" s="10">
        <f t="shared" si="5"/>
        <v>6.4640188924537823</v>
      </c>
      <c r="I6" s="9">
        <v>26.9</v>
      </c>
      <c r="J6" s="17">
        <f t="shared" si="3"/>
        <v>1614</v>
      </c>
      <c r="L6" s="4">
        <v>669.48</v>
      </c>
      <c r="M6" s="10">
        <f t="shared" si="0"/>
        <v>5.7921490952799859</v>
      </c>
      <c r="N6" s="4">
        <v>32.04</v>
      </c>
      <c r="O6" s="19"/>
      <c r="P6" s="4">
        <v>670.81205399999999</v>
      </c>
      <c r="Q6" s="10">
        <f t="shared" si="4"/>
        <v>5.9374836457545177</v>
      </c>
      <c r="R6" s="4">
        <v>30.39</v>
      </c>
    </row>
    <row r="7" spans="1:18" x14ac:dyDescent="0.3">
      <c r="A7" s="1" t="s">
        <v>6</v>
      </c>
      <c r="B7" s="4">
        <v>247.41573</v>
      </c>
      <c r="C7" s="4">
        <v>246.13869600000001</v>
      </c>
      <c r="D7" s="10">
        <f t="shared" si="1"/>
        <v>0.51882699500446949</v>
      </c>
      <c r="E7" s="8">
        <v>247.20600300000001</v>
      </c>
      <c r="F7" s="10">
        <f t="shared" si="2"/>
        <v>8.4838959189832724E-2</v>
      </c>
      <c r="G7" s="4">
        <v>246.62920500000001</v>
      </c>
      <c r="H7" s="10">
        <f t="shared" si="5"/>
        <v>0.31789611759930675</v>
      </c>
      <c r="I7" s="9">
        <v>2.81</v>
      </c>
      <c r="J7" s="17">
        <f t="shared" si="3"/>
        <v>168.6</v>
      </c>
      <c r="L7" s="4">
        <v>247.40679900000001</v>
      </c>
      <c r="M7" s="20">
        <f t="shared" si="0"/>
        <v>3.6097139013715127E-3</v>
      </c>
      <c r="N7" s="4">
        <v>2.78</v>
      </c>
      <c r="O7" s="19"/>
      <c r="P7" s="22">
        <v>247.40679900000001</v>
      </c>
      <c r="Q7" s="20">
        <f t="shared" si="4"/>
        <v>3.6098442064196501E-3</v>
      </c>
      <c r="R7" s="4">
        <v>4.17</v>
      </c>
    </row>
    <row r="8" spans="1:18" x14ac:dyDescent="0.3">
      <c r="A8" s="1" t="s">
        <v>7</v>
      </c>
      <c r="B8" s="4">
        <v>863.91613099999995</v>
      </c>
      <c r="C8" s="4">
        <v>820.72604799999999</v>
      </c>
      <c r="D8" s="10">
        <f t="shared" si="1"/>
        <v>5.2624238142859525</v>
      </c>
      <c r="E8" s="15">
        <v>858.40931</v>
      </c>
      <c r="F8" s="10">
        <f t="shared" si="2"/>
        <v>0.64151459401109545</v>
      </c>
      <c r="G8" s="4">
        <v>853.66041700000005</v>
      </c>
      <c r="H8" s="10">
        <f t="shared" si="5"/>
        <v>1.1871191695574324</v>
      </c>
      <c r="I8" s="9">
        <v>2.19</v>
      </c>
      <c r="J8" s="17">
        <f t="shared" si="3"/>
        <v>131.4</v>
      </c>
      <c r="L8" s="4">
        <v>856.21786399999996</v>
      </c>
      <c r="M8" s="10">
        <f t="shared" si="0"/>
        <v>0.89108962360606592</v>
      </c>
      <c r="N8" s="4">
        <v>1.7</v>
      </c>
      <c r="O8" s="19"/>
      <c r="P8" s="4">
        <v>856.21786399999996</v>
      </c>
      <c r="Q8" s="10">
        <f t="shared" si="4"/>
        <v>0.89910142309294161</v>
      </c>
      <c r="R8" s="4">
        <v>3.4</v>
      </c>
    </row>
    <row r="9" spans="1:18" x14ac:dyDescent="0.3">
      <c r="A9" s="1" t="s">
        <v>8</v>
      </c>
      <c r="B9" s="4">
        <v>400.65319899999997</v>
      </c>
      <c r="C9" s="4">
        <v>392.22606300000001</v>
      </c>
      <c r="D9" s="10">
        <f t="shared" si="1"/>
        <v>2.1485405471384911</v>
      </c>
      <c r="E9" s="8">
        <v>399.90996100000001</v>
      </c>
      <c r="F9" s="10">
        <f t="shared" si="2"/>
        <v>0.18585133467079668</v>
      </c>
      <c r="G9" s="4">
        <v>395.05629399999998</v>
      </c>
      <c r="H9" s="10">
        <f t="shared" si="5"/>
        <v>1.3969450422383856</v>
      </c>
      <c r="I9" s="9">
        <v>7.99</v>
      </c>
      <c r="J9" s="17">
        <f t="shared" si="3"/>
        <v>479.40000000000003</v>
      </c>
      <c r="L9" s="4">
        <v>397.2953</v>
      </c>
      <c r="M9" s="10">
        <f t="shared" si="0"/>
        <v>0.83810612479347135</v>
      </c>
      <c r="N9" s="4">
        <v>10.89</v>
      </c>
      <c r="O9" s="19"/>
      <c r="P9" s="4">
        <v>397.2953</v>
      </c>
      <c r="Q9" s="10">
        <f t="shared" si="4"/>
        <v>0.84518971153194489</v>
      </c>
      <c r="R9" s="4">
        <v>15.96</v>
      </c>
    </row>
    <row r="10" spans="1:18" x14ac:dyDescent="0.3">
      <c r="A10" s="1" t="s">
        <v>9</v>
      </c>
      <c r="B10" s="4">
        <v>57.389094</v>
      </c>
      <c r="C10" s="4">
        <v>56.777189999999997</v>
      </c>
      <c r="D10" s="10">
        <f t="shared" si="1"/>
        <v>1.0777285737459052</v>
      </c>
      <c r="E10" s="6">
        <v>57.253697000000003</v>
      </c>
      <c r="F10" s="10">
        <f t="shared" si="2"/>
        <v>0.23648603862209552</v>
      </c>
      <c r="G10" s="4">
        <v>57.191429999999997</v>
      </c>
      <c r="H10" s="10">
        <f t="shared" si="5"/>
        <v>0.34442781062200278</v>
      </c>
      <c r="I10" s="9">
        <v>90.77</v>
      </c>
      <c r="J10" s="17">
        <f t="shared" si="3"/>
        <v>5446.2</v>
      </c>
      <c r="L10" s="4">
        <v>57.279770999999997</v>
      </c>
      <c r="M10" s="20">
        <f t="shared" si="0"/>
        <v>0.19049438208591235</v>
      </c>
      <c r="N10" s="4">
        <v>161.78</v>
      </c>
      <c r="O10" s="19"/>
      <c r="P10" s="22">
        <v>57.277014999999999</v>
      </c>
      <c r="Q10" s="20">
        <f t="shared" si="4"/>
        <v>0.19567884255141679</v>
      </c>
      <c r="R10" s="4">
        <v>207.47</v>
      </c>
    </row>
    <row r="11" spans="1:18" x14ac:dyDescent="0.3">
      <c r="A11" s="1" t="s">
        <v>10</v>
      </c>
      <c r="B11" s="4">
        <v>1648.0510830000001</v>
      </c>
      <c r="C11" s="4">
        <v>1645.2427740000001</v>
      </c>
      <c r="D11" s="10">
        <f t="shared" si="1"/>
        <v>0.17069268100611687</v>
      </c>
      <c r="E11" s="6">
        <v>1646.7848220000001</v>
      </c>
      <c r="F11" s="10">
        <f t="shared" si="2"/>
        <v>7.6892923901383026E-2</v>
      </c>
      <c r="G11" s="13">
        <v>1646.3624609999999</v>
      </c>
      <c r="H11" s="14">
        <f t="shared" si="5"/>
        <v>0.10246175118105384</v>
      </c>
      <c r="I11" s="14">
        <v>0.8</v>
      </c>
      <c r="J11" s="17">
        <f t="shared" si="3"/>
        <v>48</v>
      </c>
      <c r="L11" s="4">
        <v>1646.5690340000001</v>
      </c>
      <c r="M11" s="10">
        <f t="shared" si="0"/>
        <v>8.9927370291346787E-2</v>
      </c>
      <c r="N11" s="4">
        <v>0.77</v>
      </c>
      <c r="O11" s="19"/>
      <c r="P11" s="4">
        <v>1646.56888</v>
      </c>
      <c r="Q11" s="10">
        <f t="shared" si="4"/>
        <v>9.0017673600148868E-2</v>
      </c>
      <c r="R11" s="4">
        <v>0.9</v>
      </c>
    </row>
    <row r="12" spans="1:18" x14ac:dyDescent="0.3">
      <c r="A12" s="1" t="s">
        <v>11</v>
      </c>
      <c r="B12" s="4">
        <v>1078.979501</v>
      </c>
      <c r="C12" s="4">
        <v>1073.3271970000001</v>
      </c>
      <c r="D12" s="10">
        <f t="shared" si="1"/>
        <v>0.52661518461457169</v>
      </c>
      <c r="E12" s="11">
        <v>1078.3321132994001</v>
      </c>
      <c r="F12" s="10">
        <f t="shared" si="2"/>
        <v>6.0036021612957839E-2</v>
      </c>
      <c r="G12" s="4">
        <v>1075.8163970000001</v>
      </c>
      <c r="H12" s="10">
        <f t="shared" si="5"/>
        <v>0.29315700595501637</v>
      </c>
      <c r="I12" s="9">
        <v>31.07</v>
      </c>
      <c r="J12" s="17">
        <f t="shared" si="3"/>
        <v>1864.2</v>
      </c>
      <c r="L12" s="4">
        <v>1078.67</v>
      </c>
      <c r="M12" s="20">
        <f t="shared" si="0"/>
        <v>2.8684604268487832E-2</v>
      </c>
      <c r="N12" s="4">
        <v>53.91</v>
      </c>
      <c r="O12" s="19"/>
      <c r="P12" s="22">
        <v>1078.6687790000001</v>
      </c>
      <c r="Q12" s="20">
        <f t="shared" si="4"/>
        <v>2.8806062254624832E-2</v>
      </c>
      <c r="R12" s="4">
        <v>76.92</v>
      </c>
    </row>
    <row r="13" spans="1:18" x14ac:dyDescent="0.3">
      <c r="A13" s="1" t="s">
        <v>12</v>
      </c>
      <c r="B13" s="4">
        <v>1079.0242679999999</v>
      </c>
      <c r="C13" s="4">
        <v>1073.3271970000001</v>
      </c>
      <c r="D13" s="10">
        <f t="shared" si="1"/>
        <v>0.53078604696903275</v>
      </c>
      <c r="E13" s="15">
        <v>1078.419238</v>
      </c>
      <c r="F13" s="10">
        <f>(B13-E13)/E13*100</f>
        <v>5.6103413095820759E-2</v>
      </c>
      <c r="G13" s="4">
        <v>1075.907539</v>
      </c>
      <c r="H13" s="10">
        <f t="shared" si="5"/>
        <v>0.28884697892632111</v>
      </c>
      <c r="I13" s="10">
        <v>164.35</v>
      </c>
      <c r="J13" s="17">
        <f t="shared" si="3"/>
        <v>9861</v>
      </c>
      <c r="L13" s="4">
        <v>1078.7128110000001</v>
      </c>
      <c r="M13" s="20">
        <f t="shared" ref="M13" si="6">($B13-L13)/$B13*100</f>
        <v>2.8864689074795787E-2</v>
      </c>
      <c r="N13" s="4">
        <v>156.03</v>
      </c>
      <c r="O13" s="19"/>
      <c r="P13" s="22">
        <v>1078.712761</v>
      </c>
      <c r="Q13" s="20">
        <f t="shared" si="4"/>
        <v>2.8877659675696769E-2</v>
      </c>
      <c r="R13" s="4">
        <v>205.5</v>
      </c>
    </row>
    <row r="15" spans="1:18" ht="15.9" customHeight="1" x14ac:dyDescent="0.3">
      <c r="A15" s="5" t="s">
        <v>20</v>
      </c>
      <c r="G15" s="13" t="s">
        <v>19</v>
      </c>
    </row>
    <row r="16" spans="1:18" x14ac:dyDescent="0.3">
      <c r="A16" s="7" t="s">
        <v>21</v>
      </c>
    </row>
    <row r="17" spans="1:1" x14ac:dyDescent="0.3">
      <c r="A17" s="12" t="s">
        <v>22</v>
      </c>
    </row>
    <row r="18" spans="1:1" x14ac:dyDescent="0.3">
      <c r="A18" s="16" t="s">
        <v>23</v>
      </c>
    </row>
  </sheetData>
  <mergeCells count="7">
    <mergeCell ref="P1:R1"/>
    <mergeCell ref="A1:A2"/>
    <mergeCell ref="L1:N1"/>
    <mergeCell ref="C1:D1"/>
    <mergeCell ref="E1:F1"/>
    <mergeCell ref="G1:I1"/>
    <mergeCell ref="B1:B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Solutions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mazzinghy</dc:creator>
  <cp:lastModifiedBy>douglas mazzinghy</cp:lastModifiedBy>
  <dcterms:created xsi:type="dcterms:W3CDTF">2025-12-23T14:26:56Z</dcterms:created>
  <dcterms:modified xsi:type="dcterms:W3CDTF">2026-08-19T19:37:15Z</dcterms:modified>
</cp:coreProperties>
</file>