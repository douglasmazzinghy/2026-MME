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u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Value of the solution file distributed by MineLib (also adopted by Samavati et al., 2018); the results page of MineLib lists 1,073,327,197.</t>
        </r>
      </text>
    </comment>
    <comment ref="K11" authorId="0">
      <text>
        <r>
          <rPr>
            <sz val="10"/>
            <rFont val="Arial"/>
            <family val="2"/>
          </rPr>
          <t xml:space="preserve">Difference smaller than the precision of the BKS, which is derived from a gap with two decimals.</t>
        </r>
      </text>
    </comment>
  </commentList>
</comments>
</file>

<file path=xl/sharedStrings.xml><?xml version="1.0" encoding="utf-8"?>
<sst xmlns="http://schemas.openxmlformats.org/spreadsheetml/2006/main" count="48" uniqueCount="38">
  <si>
    <t xml:space="preserve">Dataset</t>
  </si>
  <si>
    <t xml:space="preserve">Horizon</t>
  </si>
  <si>
    <t xml:space="preserve">UB</t>
  </si>
  <si>
    <t xml:space="preserve">MineLib</t>
  </si>
  <si>
    <t xml:space="preserve">BKS</t>
  </si>
  <si>
    <t xml:space="preserve">SD-CPIT</t>
  </si>
  <si>
    <t xml:space="preserve">Time limit per subproblem (s)</t>
  </si>
  <si>
    <t xml:space="preserve">Solution</t>
  </si>
  <si>
    <t xml:space="preserve">Gap (%)</t>
  </si>
  <si>
    <t xml:space="preserve">Source</t>
  </si>
  <si>
    <t xml:space="preserve">ΔBKS (%)</t>
  </si>
  <si>
    <t xml:space="preserve">Periods used</t>
  </si>
  <si>
    <t xml:space="preserve">Blocks extracted</t>
  </si>
  <si>
    <t xml:space="preserve">Subproblems at time limit</t>
  </si>
  <si>
    <t xml:space="preserve">Time (min)</t>
  </si>
  <si>
    <t xml:space="preserve">Improves BKS</t>
  </si>
  <si>
    <t xml:space="preserve">newman1</t>
  </si>
  <si>
    <t xml:space="preserve">(4)</t>
  </si>
  <si>
    <t xml:space="preserve">zuck_small</t>
  </si>
  <si>
    <t xml:space="preserve">(3)</t>
  </si>
  <si>
    <t xml:space="preserve">kd</t>
  </si>
  <si>
    <t xml:space="preserve">zuck_medium</t>
  </si>
  <si>
    <t xml:space="preserve">p4hd</t>
  </si>
  <si>
    <t xml:space="preserve">(2)</t>
  </si>
  <si>
    <t xml:space="preserve">marvin</t>
  </si>
  <si>
    <t xml:space="preserve">w23</t>
  </si>
  <si>
    <t xml:space="preserve">zuck_large</t>
  </si>
  <si>
    <t xml:space="preserve">(1)</t>
  </si>
  <si>
    <t xml:space="preserve">sm2</t>
  </si>
  <si>
    <t xml:space="preserve">(5)</t>
  </si>
  <si>
    <t xml:space="preserve">mclaughlin_limit</t>
  </si>
  <si>
    <t xml:space="preserve">mclaughlin</t>
  </si>
  <si>
    <t xml:space="preserve">Total</t>
  </si>
  <si>
    <t xml:space="preserve">BKS improved</t>
  </si>
  <si>
    <t xml:space="preserve">Gap = (UB − Solution)/UB × 100, the definition used by MineLib (Eq. 12 of the paper). ΔBKS = (SD-CPIT − BKS)/BKS × 100.</t>
  </si>
  <si>
    <t xml:space="preserve">BKS sources: (1) Jélvez et al., 2016; (2) Liu and Kozan, 2016; (3) Samavati et al., 2018; (4) optimal value, proved with the complete model and Gurobi (MIPGap = 1E-6); (5) Lamghari et al., 2015, value derived from the reported gap (0.04%).</t>
  </si>
  <si>
    <t xml:space="preserve">SD-CPIT: Gurobi Optimizer 13.0.3 through Python-MIP 2.0.0, relative MIP gap 1E-4 per subproblem; Intel Core Ultra 7 155H, 64 GB RAM, Windows 11.</t>
  </si>
  <si>
    <t xml:space="preserve">All SD-CPIT schedules were verified against the official MineLib .cpit and .prec files (folder schedule_validation of the repository).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</si>
</sst>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0"/>
    <numFmt numFmtId="168" formatCode="\+0.000;\-0.000;0.000"/>
    <numFmt numFmtId="169" formatCode="#,##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" min="1" style="1" width="15.94"/>
    <col collapsed="false" customWidth="true" hidden="false" outlineLevel="0" max="2" min="2" style="1" width="9"/>
    <col collapsed="false" customWidth="true" hidden="false" outlineLevel="0" max="3" min="3" style="1" width="13.71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14.23"/>
    <col collapsed="false" customWidth="true" hidden="false" outlineLevel="0" max="7" min="7" style="1" width="9"/>
    <col collapsed="false" customWidth="true" hidden="false" outlineLevel="0" max="8" min="8" style="1" width="8"/>
    <col collapsed="false" customWidth="true" hidden="false" outlineLevel="0" max="9" min="9" style="1" width="13.88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1"/>
    <col collapsed="false" customWidth="true" hidden="false" outlineLevel="0" max="14" min="14" style="1" width="13"/>
    <col collapsed="false" customWidth="true" hidden="false" outlineLevel="0" max="16" min="15" style="1" width="10"/>
    <col collapsed="false" customWidth="true" hidden="false" outlineLevel="0" max="17" min="17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/>
      <c r="H1" s="2"/>
      <c r="I1" s="2" t="s">
        <v>5</v>
      </c>
      <c r="J1" s="2"/>
      <c r="K1" s="2"/>
      <c r="L1" s="2"/>
      <c r="M1" s="2"/>
      <c r="N1" s="2"/>
      <c r="O1" s="2"/>
      <c r="P1" s="2"/>
      <c r="Q1" s="2" t="s">
        <v>6</v>
      </c>
    </row>
    <row r="2" customFormat="false" ht="45" hidden="false" customHeight="true" outlineLevel="0" collapsed="false">
      <c r="A2" s="2"/>
      <c r="B2" s="2"/>
      <c r="C2" s="2"/>
      <c r="D2" s="2" t="s">
        <v>7</v>
      </c>
      <c r="E2" s="2" t="s">
        <v>8</v>
      </c>
      <c r="F2" s="2" t="s">
        <v>7</v>
      </c>
      <c r="G2" s="2" t="s">
        <v>8</v>
      </c>
      <c r="H2" s="2" t="s">
        <v>9</v>
      </c>
      <c r="I2" s="2" t="s">
        <v>7</v>
      </c>
      <c r="J2" s="2" t="s">
        <v>8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/>
    </row>
    <row r="3" customFormat="false" ht="14.25" hidden="false" customHeight="true" outlineLevel="0" collapsed="false">
      <c r="A3" s="3" t="s">
        <v>16</v>
      </c>
      <c r="B3" s="4" t="n">
        <v>6</v>
      </c>
      <c r="C3" s="5" t="n">
        <v>24486184</v>
      </c>
      <c r="D3" s="5" t="n">
        <v>23483671</v>
      </c>
      <c r="E3" s="6" t="n">
        <f aca="false">(C3-D3)/C3*100</f>
        <v>4.09419858970267</v>
      </c>
      <c r="F3" s="5" t="n">
        <v>24176865</v>
      </c>
      <c r="G3" s="6" t="n">
        <f aca="false">(C3-F3)/C3*100</f>
        <v>1.26323889422705</v>
      </c>
      <c r="H3" s="7" t="s">
        <v>17</v>
      </c>
      <c r="I3" s="5" t="n">
        <v>24176865</v>
      </c>
      <c r="J3" s="6" t="n">
        <f aca="false">(C3-I3)/C3*100</f>
        <v>1.26323889422705</v>
      </c>
      <c r="K3" s="8" t="n">
        <f aca="false">(I3-F3)/F3*100</f>
        <v>0</v>
      </c>
      <c r="L3" s="4" t="n">
        <v>3</v>
      </c>
      <c r="M3" s="5" t="n">
        <v>1059</v>
      </c>
      <c r="N3" s="4" t="n">
        <v>0</v>
      </c>
      <c r="O3" s="9" t="n">
        <v>0.02</v>
      </c>
      <c r="P3" s="7" t="str">
        <f aca="false">IF(I3&gt;F3,"yes",IF(I3=F3,"equal","no"))</f>
        <v>equal</v>
      </c>
      <c r="Q3" s="5" t="n">
        <v>600</v>
      </c>
    </row>
    <row r="4" customFormat="false" ht="14.25" hidden="false" customHeight="true" outlineLevel="0" collapsed="false">
      <c r="A4" s="3" t="s">
        <v>18</v>
      </c>
      <c r="B4" s="4" t="n">
        <v>20</v>
      </c>
      <c r="C4" s="5" t="n">
        <v>854182396</v>
      </c>
      <c r="D4" s="5" t="n">
        <v>788652600</v>
      </c>
      <c r="E4" s="6" t="n">
        <f aca="false">(C4-D4)/C4*100</f>
        <v>7.67163972318624</v>
      </c>
      <c r="F4" s="5" t="n">
        <v>848112016</v>
      </c>
      <c r="G4" s="6" t="n">
        <f aca="false">(C4-F4)/C4*100</f>
        <v>0.71066554736162</v>
      </c>
      <c r="H4" s="7" t="s">
        <v>19</v>
      </c>
      <c r="I4" s="5" t="n">
        <v>847050785</v>
      </c>
      <c r="J4" s="6" t="n">
        <f aca="false">(C4-I4)/C4*100</f>
        <v>0.834904937563242</v>
      </c>
      <c r="K4" s="8" t="n">
        <f aca="false">(I4-F4)/F4*100</f>
        <v>-0.125128636309758</v>
      </c>
      <c r="L4" s="4" t="n">
        <v>17</v>
      </c>
      <c r="M4" s="5" t="n">
        <v>9399</v>
      </c>
      <c r="N4" s="4" t="n">
        <v>0</v>
      </c>
      <c r="O4" s="9" t="n">
        <v>3.73</v>
      </c>
      <c r="P4" s="7" t="str">
        <f aca="false">IF(I4&gt;F4,"yes",IF(I4=F4,"equal","no"))</f>
        <v>no</v>
      </c>
      <c r="Q4" s="5" t="n">
        <v>600</v>
      </c>
    </row>
    <row r="5" customFormat="false" ht="14.25" hidden="false" customHeight="true" outlineLevel="0" collapsed="false">
      <c r="A5" s="3" t="s">
        <v>20</v>
      </c>
      <c r="B5" s="4" t="n">
        <v>12</v>
      </c>
      <c r="C5" s="5" t="n">
        <v>409498555</v>
      </c>
      <c r="D5" s="5" t="n">
        <v>396858193</v>
      </c>
      <c r="E5" s="6" t="n">
        <f aca="false">(C5-D5)/C5*100</f>
        <v>3.08679037951672</v>
      </c>
      <c r="F5" s="5" t="n">
        <v>408923283</v>
      </c>
      <c r="G5" s="6" t="n">
        <f aca="false">(C5-F5)/C5*100</f>
        <v>0.140482058599694</v>
      </c>
      <c r="H5" s="7" t="s">
        <v>19</v>
      </c>
      <c r="I5" s="10" t="n">
        <v>409106516</v>
      </c>
      <c r="J5" s="11" t="n">
        <f aca="false">(C5-I5)/C5*100</f>
        <v>0.0957363573602842</v>
      </c>
      <c r="K5" s="8" t="n">
        <f aca="false">(I5-F5)/F5*100</f>
        <v>0.0448086493524508</v>
      </c>
      <c r="L5" s="4" t="n">
        <v>10</v>
      </c>
      <c r="M5" s="5" t="n">
        <v>12154</v>
      </c>
      <c r="N5" s="4" t="n">
        <v>2</v>
      </c>
      <c r="O5" s="9" t="n">
        <v>22.17</v>
      </c>
      <c r="P5" s="7" t="str">
        <f aca="false">IF(I5&gt;F5,"yes",IF(I5=F5,"equal","no"))</f>
        <v>yes</v>
      </c>
      <c r="Q5" s="5" t="n">
        <v>600</v>
      </c>
    </row>
    <row r="6" customFormat="false" ht="14.25" hidden="false" customHeight="true" outlineLevel="0" collapsed="false">
      <c r="A6" s="3" t="s">
        <v>21</v>
      </c>
      <c r="B6" s="4" t="n">
        <v>15</v>
      </c>
      <c r="C6" s="5" t="n">
        <v>710641410</v>
      </c>
      <c r="D6" s="5" t="n">
        <v>615411415</v>
      </c>
      <c r="E6" s="6" t="n">
        <f aca="false">(C6-D6)/C6*100</f>
        <v>13.4005693532551</v>
      </c>
      <c r="F6" s="5" t="n">
        <v>673426719</v>
      </c>
      <c r="G6" s="6" t="n">
        <f aca="false">(C6-F6)/C6*100</f>
        <v>5.23677490170465</v>
      </c>
      <c r="H6" s="7" t="s">
        <v>19</v>
      </c>
      <c r="I6" s="5" t="n">
        <v>669502198</v>
      </c>
      <c r="J6" s="6" t="n">
        <f aca="false">(C6-I6)/C6*100</f>
        <v>5.78902543830087</v>
      </c>
      <c r="K6" s="8" t="n">
        <f aca="false">(I6-F6)/F6*100</f>
        <v>-0.582768828333347</v>
      </c>
      <c r="L6" s="4" t="n">
        <v>14</v>
      </c>
      <c r="M6" s="5" t="n">
        <v>27387</v>
      </c>
      <c r="N6" s="4" t="n">
        <v>0</v>
      </c>
      <c r="O6" s="9" t="n">
        <v>29.38</v>
      </c>
      <c r="P6" s="7" t="str">
        <f aca="false">IF(I6&gt;F6,"yes",IF(I6=F6,"equal","no"))</f>
        <v>no</v>
      </c>
      <c r="Q6" s="5" t="n">
        <v>600</v>
      </c>
    </row>
    <row r="7" customFormat="false" ht="14.25" hidden="false" customHeight="true" outlineLevel="0" collapsed="false">
      <c r="A7" s="3" t="s">
        <v>22</v>
      </c>
      <c r="B7" s="4" t="n">
        <v>10</v>
      </c>
      <c r="C7" s="5" t="n">
        <v>247415730</v>
      </c>
      <c r="D7" s="5" t="n">
        <v>246138696</v>
      </c>
      <c r="E7" s="6" t="n">
        <f aca="false">(C7-D7)/C7*100</f>
        <v>0.516149074272683</v>
      </c>
      <c r="F7" s="5" t="n">
        <v>247206003</v>
      </c>
      <c r="G7" s="6" t="n">
        <f aca="false">(C7-F7)/C7*100</f>
        <v>0.0847670437122167</v>
      </c>
      <c r="H7" s="7" t="s">
        <v>23</v>
      </c>
      <c r="I7" s="10" t="n">
        <v>247406799</v>
      </c>
      <c r="J7" s="11" t="n">
        <f aca="false">(C7-I7)/C7*100</f>
        <v>0.00360971390137563</v>
      </c>
      <c r="K7" s="8" t="n">
        <f aca="false">(I7-F7)/F7*100</f>
        <v>0.0812261828447588</v>
      </c>
      <c r="L7" s="4" t="n">
        <v>6</v>
      </c>
      <c r="M7" s="5" t="n">
        <v>28844</v>
      </c>
      <c r="N7" s="4" t="n">
        <v>0</v>
      </c>
      <c r="O7" s="9" t="n">
        <v>5.08</v>
      </c>
      <c r="P7" s="7" t="str">
        <f aca="false">IF(I7&gt;F7,"yes",IF(I7=F7,"equal","no"))</f>
        <v>yes</v>
      </c>
      <c r="Q7" s="5" t="n">
        <v>600</v>
      </c>
    </row>
    <row r="8" customFormat="false" ht="14.25" hidden="false" customHeight="true" outlineLevel="0" collapsed="false">
      <c r="A8" s="3" t="s">
        <v>24</v>
      </c>
      <c r="B8" s="4" t="n">
        <v>20</v>
      </c>
      <c r="C8" s="5" t="n">
        <v>863916131</v>
      </c>
      <c r="D8" s="5" t="n">
        <v>820726048</v>
      </c>
      <c r="E8" s="6" t="n">
        <f aca="false">(C8-D8)/C8*100</f>
        <v>4.99933748777287</v>
      </c>
      <c r="F8" s="5" t="n">
        <v>858409310</v>
      </c>
      <c r="G8" s="6" t="n">
        <f aca="false">(C8-F8)/C8*100</f>
        <v>0.637425416935524</v>
      </c>
      <c r="H8" s="7" t="s">
        <v>19</v>
      </c>
      <c r="I8" s="5" t="n">
        <v>856217864</v>
      </c>
      <c r="J8" s="6" t="n">
        <f aca="false">(C8-I8)/C8*100</f>
        <v>0.891089623606068</v>
      </c>
      <c r="K8" s="8" t="n">
        <f aca="false">(I8-F8)/F8*100</f>
        <v>-0.255291499576117</v>
      </c>
      <c r="L8" s="4" t="n">
        <v>16</v>
      </c>
      <c r="M8" s="5" t="n">
        <v>8516</v>
      </c>
      <c r="N8" s="4" t="n">
        <v>0</v>
      </c>
      <c r="O8" s="9" t="n">
        <v>3.17</v>
      </c>
      <c r="P8" s="7" t="str">
        <f aca="false">IF(I8&gt;F8,"yes",IF(I8=F8,"equal","no"))</f>
        <v>no</v>
      </c>
      <c r="Q8" s="5" t="n">
        <v>600</v>
      </c>
    </row>
    <row r="9" customFormat="false" ht="14.25" hidden="false" customHeight="true" outlineLevel="0" collapsed="false">
      <c r="A9" s="3" t="s">
        <v>25</v>
      </c>
      <c r="B9" s="4" t="n">
        <v>12</v>
      </c>
      <c r="C9" s="5" t="n">
        <v>400653199</v>
      </c>
      <c r="D9" s="5" t="n">
        <v>392226063</v>
      </c>
      <c r="E9" s="6" t="n">
        <f aca="false">(C9-D9)/C9*100</f>
        <v>2.10334923595606</v>
      </c>
      <c r="F9" s="5" t="n">
        <v>399909961</v>
      </c>
      <c r="G9" s="6" t="n">
        <f aca="false">(C9-F9)/C9*100</f>
        <v>0.185506568237834</v>
      </c>
      <c r="H9" s="7" t="s">
        <v>23</v>
      </c>
      <c r="I9" s="10" t="n">
        <v>399973326</v>
      </c>
      <c r="J9" s="11" t="n">
        <f aca="false">(C9-I9)/C9*100</f>
        <v>0.169691144784794</v>
      </c>
      <c r="K9" s="8" t="n">
        <f aca="false">(I9-F9)/F9*100</f>
        <v>0.0158448166286111</v>
      </c>
      <c r="L9" s="4" t="n">
        <v>11</v>
      </c>
      <c r="M9" s="5" t="n">
        <v>49061</v>
      </c>
      <c r="N9" s="4" t="n">
        <v>0</v>
      </c>
      <c r="O9" s="9" t="n">
        <v>24.27</v>
      </c>
      <c r="P9" s="7" t="str">
        <f aca="false">IF(I9&gt;F9,"yes",IF(I9=F9,"equal","no"))</f>
        <v>yes</v>
      </c>
      <c r="Q9" s="5" t="n">
        <v>600</v>
      </c>
    </row>
    <row r="10" customFormat="false" ht="14.25" hidden="false" customHeight="true" outlineLevel="0" collapsed="false">
      <c r="A10" s="3" t="s">
        <v>26</v>
      </c>
      <c r="B10" s="4" t="n">
        <v>30</v>
      </c>
      <c r="C10" s="5" t="n">
        <v>57389094</v>
      </c>
      <c r="D10" s="5" t="n">
        <v>56777190</v>
      </c>
      <c r="E10" s="6" t="n">
        <f aca="false">(C10-D10)/C10*100</f>
        <v>1.06623742831696</v>
      </c>
      <c r="F10" s="5" t="n">
        <v>57253697</v>
      </c>
      <c r="G10" s="6" t="n">
        <f aca="false">(C10-F10)/C10*100</f>
        <v>0.235928101600628</v>
      </c>
      <c r="H10" s="7" t="s">
        <v>27</v>
      </c>
      <c r="I10" s="10" t="n">
        <v>57324534</v>
      </c>
      <c r="J10" s="11" t="n">
        <f aca="false">(C10-I10)/C10*100</f>
        <v>0.11249524169174</v>
      </c>
      <c r="K10" s="8" t="n">
        <f aca="false">(I10-F10)/F10*100</f>
        <v>0.123724761389644</v>
      </c>
      <c r="L10" s="4" t="n">
        <v>25</v>
      </c>
      <c r="M10" s="5" t="n">
        <v>96821</v>
      </c>
      <c r="N10" s="4" t="n">
        <v>6</v>
      </c>
      <c r="O10" s="9" t="n">
        <v>166.32</v>
      </c>
      <c r="P10" s="7" t="str">
        <f aca="false">IF(I10&gt;F10,"yes",IF(I10=F10,"equal","no"))</f>
        <v>yes</v>
      </c>
      <c r="Q10" s="5" t="n">
        <v>1200</v>
      </c>
    </row>
    <row r="11" customFormat="false" ht="14.25" hidden="false" customHeight="true" outlineLevel="0" collapsed="false">
      <c r="A11" s="3" t="s">
        <v>28</v>
      </c>
      <c r="B11" s="4" t="n">
        <v>30</v>
      </c>
      <c r="C11" s="5" t="n">
        <v>1648051083</v>
      </c>
      <c r="D11" s="5" t="n">
        <v>1645242774</v>
      </c>
      <c r="E11" s="6" t="n">
        <f aca="false">(C11-D11)/C11*100</f>
        <v>0.170401817575214</v>
      </c>
      <c r="F11" s="5" t="n">
        <v>1647391863</v>
      </c>
      <c r="G11" s="6" t="n">
        <f aca="false">(C11-F11)/C11*100</f>
        <v>0.039999973714407</v>
      </c>
      <c r="H11" s="7" t="s">
        <v>29</v>
      </c>
      <c r="I11" s="5" t="n">
        <v>1647381288</v>
      </c>
      <c r="J11" s="6" t="n">
        <f aca="false">(C11-I11)/C11*100</f>
        <v>0.0406416407178806</v>
      </c>
      <c r="K11" s="8" t="n">
        <f aca="false">(I11-F11)/F11*100</f>
        <v>-0.000641923772813973</v>
      </c>
      <c r="L11" s="4" t="n">
        <v>22</v>
      </c>
      <c r="M11" s="5" t="n">
        <v>18388</v>
      </c>
      <c r="N11" s="4" t="n">
        <v>0</v>
      </c>
      <c r="O11" s="9" t="n">
        <v>1.11</v>
      </c>
      <c r="P11" s="7" t="str">
        <f aca="false">IF(I11&gt;F11,"yes",IF(I11=F11,"equal","no"))</f>
        <v>no</v>
      </c>
      <c r="Q11" s="5" t="n">
        <v>600</v>
      </c>
    </row>
    <row r="12" customFormat="false" ht="14.25" hidden="false" customHeight="true" outlineLevel="0" collapsed="false">
      <c r="A12" s="3" t="s">
        <v>30</v>
      </c>
      <c r="B12" s="4" t="n">
        <v>15</v>
      </c>
      <c r="C12" s="5" t="n">
        <v>1078979501</v>
      </c>
      <c r="D12" s="5" t="n">
        <v>1073327197</v>
      </c>
      <c r="E12" s="6" t="n">
        <f aca="false">(C12-D12)/C12*100</f>
        <v>0.523856476861834</v>
      </c>
      <c r="F12" s="5" t="n">
        <v>1078316053</v>
      </c>
      <c r="G12" s="6" t="n">
        <f aca="false">(C12-F12)/C12*100</f>
        <v>0.0614884712253676</v>
      </c>
      <c r="H12" s="7" t="s">
        <v>19</v>
      </c>
      <c r="I12" s="10" t="n">
        <v>1078669389</v>
      </c>
      <c r="J12" s="11" t="n">
        <f aca="false">(C12-I12)/C12*100</f>
        <v>0.0287412318503352</v>
      </c>
      <c r="K12" s="8" t="n">
        <f aca="false">(I12-F12)/F12*100</f>
        <v>0.0327673875406917</v>
      </c>
      <c r="L12" s="4" t="n">
        <v>10</v>
      </c>
      <c r="M12" s="5" t="n">
        <v>110225</v>
      </c>
      <c r="N12" s="4" t="n">
        <v>0</v>
      </c>
      <c r="O12" s="9" t="n">
        <v>63.44</v>
      </c>
      <c r="P12" s="7" t="str">
        <f aca="false">IF(I12&gt;F12,"yes",IF(I12=F12,"equal","no"))</f>
        <v>yes</v>
      </c>
      <c r="Q12" s="5" t="n">
        <v>1200</v>
      </c>
    </row>
    <row r="13" customFormat="false" ht="14.25" hidden="false" customHeight="true" outlineLevel="0" collapsed="false">
      <c r="A13" s="3" t="s">
        <v>31</v>
      </c>
      <c r="B13" s="4" t="n">
        <v>20</v>
      </c>
      <c r="C13" s="5" t="n">
        <v>1079024268</v>
      </c>
      <c r="D13" s="5" t="n">
        <v>1073530279</v>
      </c>
      <c r="E13" s="6" t="n">
        <f aca="false">(C13-D13)/C13*100</f>
        <v>0.509162691047093</v>
      </c>
      <c r="F13" s="5" t="n">
        <v>1078419238</v>
      </c>
      <c r="G13" s="6" t="n">
        <f aca="false">(C13-F13)/C13*100</f>
        <v>0.0560719548153851</v>
      </c>
      <c r="H13" s="7" t="s">
        <v>19</v>
      </c>
      <c r="I13" s="10" t="n">
        <v>1078712761</v>
      </c>
      <c r="J13" s="11" t="n">
        <f aca="false">(C13-I13)/C13*100</f>
        <v>0.0288693228908916</v>
      </c>
      <c r="K13" s="8" t="n">
        <f aca="false">(I13-F13)/F13*100</f>
        <v>0.027217893529455</v>
      </c>
      <c r="L13" s="4" t="n">
        <v>10</v>
      </c>
      <c r="M13" s="5" t="n">
        <v>110624</v>
      </c>
      <c r="N13" s="4" t="n">
        <v>1</v>
      </c>
      <c r="O13" s="9" t="n">
        <v>207.87</v>
      </c>
      <c r="P13" s="7" t="str">
        <f aca="false">IF(I13&gt;F13,"yes",IF(I13=F13,"equal","no"))</f>
        <v>yes</v>
      </c>
      <c r="Q13" s="5" t="n">
        <v>1800</v>
      </c>
    </row>
    <row r="14" customFormat="false" ht="26.25" hidden="false" customHeight="true" outlineLevel="0" collapsed="false">
      <c r="M14" s="2" t="s">
        <v>32</v>
      </c>
      <c r="N14" s="2" t="n">
        <f aca="false">SUM(N3:N13)</f>
        <v>9</v>
      </c>
      <c r="O14" s="2" t="n">
        <f aca="false">COUNTIF(P3:P13,"yes")</f>
        <v>6</v>
      </c>
      <c r="P14" s="2" t="s">
        <v>33</v>
      </c>
    </row>
    <row r="16" customFormat="false" ht="14.25" hidden="false" customHeight="true" outlineLevel="0" collapsed="false">
      <c r="A16" s="12" t="s">
        <v>34</v>
      </c>
    </row>
    <row r="17" customFormat="false" ht="14.25" hidden="false" customHeight="true" outlineLevel="0" collapsed="false">
      <c r="A17" s="12" t="s">
        <v>35</v>
      </c>
    </row>
    <row r="18" customFormat="false" ht="14.25" hidden="false" customHeight="true" outlineLevel="0" collapsed="false">
      <c r="A18" s="12" t="s">
        <v>36</v>
      </c>
    </row>
    <row r="19" customFormat="false" ht="14.25" hidden="false" customHeight="true" outlineLevel="0" collapsed="false">
      <c r="A19" s="12" t="s">
        <v>37</v>
      </c>
    </row>
    <row r="20" customFormat="false" ht="14.25" hidden="false" customHeight="true" outlineLevel="0" collapsed="false">
      <c r="A20" s="12"/>
    </row>
  </sheetData>
  <mergeCells count="7">
    <mergeCell ref="A1:A2"/>
    <mergeCell ref="B1:B2"/>
    <mergeCell ref="C1:C2"/>
    <mergeCell ref="D1:E1"/>
    <mergeCell ref="F1:H1"/>
    <mergeCell ref="I1:P1"/>
    <mergeCell ref="Q1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2025-12-23T14:26:56Z</dcterms:created>
  <dc:creator>douglas mazzinghy</dc:creator>
  <dc:description/>
  <dc:language>en-US</dc:language>
  <cp:lastModifiedBy>Douglas Mazzinghy</cp:lastModifiedBy>
  <dcterms:modified xsi:type="dcterms:W3CDTF">2026-10-30T11:52:00Z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