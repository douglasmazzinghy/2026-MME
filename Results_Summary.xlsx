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dougl\Downloads\"/>
    </mc:Choice>
  </mc:AlternateContent>
  <xr:revisionPtr revIDLastSave="0" documentId="13_ncr:1_{9E2F93F6-0AC8-45B5-BA95-8966BC5F0125}" xr6:coauthVersionLast="47" xr6:coauthVersionMax="47" xr10:uidLastSave="{00000000-0000-0000-0000-000000000000}"/>
  <bookViews>
    <workbookView xWindow="25490" yWindow="3080" windowWidth="19420" windowHeight="10300" tabRatio="814" xr2:uid="{00000000-000D-0000-FFFF-FFFF00000000}"/>
  </bookViews>
  <sheets>
    <sheet name="Solution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11" i="1" l="1"/>
  <c r="O14" i="1"/>
  <c r="N14" i="1"/>
  <c r="P13" i="1"/>
  <c r="K13" i="1"/>
  <c r="J13" i="1"/>
  <c r="G13" i="1"/>
  <c r="E13" i="1"/>
  <c r="P12" i="1"/>
  <c r="K12" i="1"/>
  <c r="J12" i="1"/>
  <c r="G12" i="1"/>
  <c r="E12" i="1"/>
  <c r="P11" i="1"/>
  <c r="J11" i="1"/>
  <c r="G11" i="1"/>
  <c r="E11" i="1"/>
  <c r="P10" i="1"/>
  <c r="K10" i="1"/>
  <c r="J10" i="1"/>
  <c r="G10" i="1"/>
  <c r="E10" i="1"/>
  <c r="P9" i="1"/>
  <c r="K9" i="1"/>
  <c r="J9" i="1"/>
  <c r="G9" i="1"/>
  <c r="E9" i="1"/>
  <c r="P8" i="1"/>
  <c r="K8" i="1"/>
  <c r="J8" i="1"/>
  <c r="G8" i="1"/>
  <c r="E8" i="1"/>
  <c r="P7" i="1"/>
  <c r="K7" i="1"/>
  <c r="J7" i="1"/>
  <c r="G7" i="1"/>
  <c r="E7" i="1"/>
  <c r="P6" i="1"/>
  <c r="K6" i="1"/>
  <c r="J6" i="1"/>
  <c r="G6" i="1"/>
  <c r="E6" i="1"/>
  <c r="P5" i="1"/>
  <c r="K5" i="1"/>
  <c r="J5" i="1"/>
  <c r="G5" i="1"/>
  <c r="E5" i="1"/>
  <c r="P4" i="1"/>
  <c r="K4" i="1"/>
  <c r="J4" i="1"/>
  <c r="G4" i="1"/>
  <c r="E4" i="1"/>
  <c r="P3" i="1"/>
  <c r="K3" i="1"/>
  <c r="J3" i="1"/>
  <c r="G3" i="1"/>
  <c r="E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K11" authorId="0" shapeId="0" xr:uid="{00000000-0006-0000-0000-000002000000}">
      <text>
        <r>
          <rPr>
            <sz val="10"/>
            <rFont val="Arial"/>
            <family val="2"/>
          </rPr>
          <t>Difference smaller than the precision of the BKS, which is derived from a gap with two decimals.</t>
        </r>
      </text>
    </comment>
    <comment ref="D13" authorId="0" shapeId="0" xr:uid="{00000000-0006-0000-0000-000001000000}">
      <text>
        <r>
          <rPr>
            <sz val="10"/>
            <rFont val="Arial"/>
            <family val="2"/>
          </rPr>
          <t>Value of the solution file distributed by MineLib (also adopted by Samavati et al., 2018); the results page of MineLib lists 1,073,327,197.</t>
        </r>
      </text>
    </comment>
  </commentList>
</comments>
</file>

<file path=xl/sharedStrings.xml><?xml version="1.0" encoding="utf-8"?>
<sst xmlns="http://schemas.openxmlformats.org/spreadsheetml/2006/main" count="48" uniqueCount="38">
  <si>
    <t>Dataset</t>
  </si>
  <si>
    <t>Horizon</t>
  </si>
  <si>
    <t>UB</t>
  </si>
  <si>
    <t>MineLib</t>
  </si>
  <si>
    <t>BKS</t>
  </si>
  <si>
    <t>Time limit per subproblem (s)</t>
  </si>
  <si>
    <t>Solution</t>
  </si>
  <si>
    <t>Gap (%)</t>
  </si>
  <si>
    <t>Source</t>
  </si>
  <si>
    <t>ΔBKS (%)</t>
  </si>
  <si>
    <t>Periods used</t>
  </si>
  <si>
    <t>Blocks extracted</t>
  </si>
  <si>
    <t>Subproblems at time limit</t>
  </si>
  <si>
    <t>Time (min)</t>
  </si>
  <si>
    <t>Improves BKS</t>
  </si>
  <si>
    <t>newman1</t>
  </si>
  <si>
    <t>(4)</t>
  </si>
  <si>
    <t>zuck_small</t>
  </si>
  <si>
    <t>(3)</t>
  </si>
  <si>
    <t>kd</t>
  </si>
  <si>
    <t>zuck_medium</t>
  </si>
  <si>
    <t>p4hd</t>
  </si>
  <si>
    <t>(2)</t>
  </si>
  <si>
    <t>marvin</t>
  </si>
  <si>
    <t>w23</t>
  </si>
  <si>
    <t>zuck_large</t>
  </si>
  <si>
    <t>(1)</t>
  </si>
  <si>
    <t>sm2</t>
  </si>
  <si>
    <t>(5)</t>
  </si>
  <si>
    <t>mclaughlin_limit</t>
  </si>
  <si>
    <t>mclaughlin</t>
  </si>
  <si>
    <t>Total</t>
  </si>
  <si>
    <t>BKS improved</t>
  </si>
  <si>
    <t>Gap = (UB − Solution)/UB × 100, the definition used by MineLib (Eq. 12 of the paper). ΔBKS = (SD-CPIT − BKS)/BKS × 100.</t>
  </si>
  <si>
    <t>BKS sources: (1) Jélvez et al., 2016; (2) Liu and Kozan, 2016; (3) Samavati et al., 2018; (4) optimal value, proved with the complete model and Gurobi (MIPGap = 1E-6); (5) Lamghari et al., 2015, value derived from the reported gap (0.04%).</t>
  </si>
  <si>
    <t>SD-CPIT: Gurobi Optimizer 13.0.3 through Python-MIP 2.0.0, relative MIP gap 1E-4 per subproblem; Intel Core Ultra 7 155H, 64 GB RAM, Windows 11.</t>
  </si>
  <si>
    <t>All SD-CPIT schedules were verified against the official MineLib .cpit and .prec files (folder schedule_validation of the repository).</t>
  </si>
  <si>
    <t>SD-CPIT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</si>
</sst>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.000;\-0.000;0.000"/>
  </numFmts>
  <fonts count="5" x14ac:knownFonts="1">
    <font>
      <sz val="11"/>
      <color theme="1"/>
      <name val="Aptos Narrow"/>
      <family val="2"/>
      <charset val="1"/>
    </font>
    <font>
      <sz val="10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i/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4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4" fillId="0" borderId="0" xfId="0" applyFont="1"/>
    <xf numFmtId="3" fontId="3" fillId="0" borderId="1" xfId="0" applyNumberFormat="1" applyFont="1" applyFill="1" applyBorder="1" applyAlignment="1">
      <alignment horizontal="center" vertical="center" wrapText="1"/>
    </xf>
    <xf numFmtId="2" fontId="3" fillId="0" borderId="1" xfId="0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99CCFF"/>
      <rgbColor rgb="FFFF99CC"/>
      <rgbColor rgb="FFCC99FF"/>
      <rgbColor rgb="FFF2CFE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"/>
  <sheetViews>
    <sheetView showGridLines="0" tabSelected="1" zoomScale="80" zoomScaleNormal="80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2"/>
    </sheetView>
  </sheetViews>
  <sheetFormatPr defaultColWidth="8.52734375" defaultRowHeight="14.35" x14ac:dyDescent="0.5"/>
  <cols>
    <col min="1" max="1" width="15.9375" customWidth="1"/>
    <col min="2" max="2" width="9" customWidth="1"/>
    <col min="3" max="3" width="13.703125" customWidth="1"/>
    <col min="4" max="4" width="16" customWidth="1"/>
    <col min="5" max="5" width="9" customWidth="1"/>
    <col min="6" max="6" width="14.234375" customWidth="1"/>
    <col min="7" max="7" width="9" customWidth="1"/>
    <col min="8" max="8" width="8" customWidth="1"/>
    <col min="9" max="9" width="13.87890625" customWidth="1"/>
    <col min="10" max="10" width="9" customWidth="1"/>
    <col min="11" max="11" width="10" customWidth="1"/>
    <col min="12" max="12" width="9" customWidth="1"/>
    <col min="13" max="13" width="11" customWidth="1"/>
    <col min="14" max="14" width="13" customWidth="1"/>
    <col min="15" max="16" width="10" customWidth="1"/>
    <col min="17" max="17" width="12" customWidth="1"/>
  </cols>
  <sheetData>
    <row r="1" spans="1:17" ht="15" customHeight="1" x14ac:dyDescent="0.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  <c r="G1" s="1"/>
      <c r="H1" s="1"/>
      <c r="I1" s="1" t="s">
        <v>37</v>
      </c>
      <c r="J1" s="1"/>
      <c r="K1" s="1"/>
      <c r="L1" s="1"/>
      <c r="M1" s="1"/>
      <c r="N1" s="1"/>
      <c r="O1" s="1"/>
      <c r="P1" s="1"/>
      <c r="Q1" s="1" t="s">
        <v>5</v>
      </c>
    </row>
    <row r="2" spans="1:17" ht="45" customHeight="1" x14ac:dyDescent="0.5">
      <c r="A2" s="1"/>
      <c r="B2" s="1"/>
      <c r="C2" s="1"/>
      <c r="D2" s="2" t="s">
        <v>6</v>
      </c>
      <c r="E2" s="2" t="s">
        <v>7</v>
      </c>
      <c r="F2" s="2" t="s">
        <v>6</v>
      </c>
      <c r="G2" s="2" t="s">
        <v>7</v>
      </c>
      <c r="H2" s="2" t="s">
        <v>8</v>
      </c>
      <c r="I2" s="2" t="s">
        <v>6</v>
      </c>
      <c r="J2" s="2" t="s">
        <v>7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1"/>
    </row>
    <row r="3" spans="1:17" x14ac:dyDescent="0.5">
      <c r="A3" s="3" t="s">
        <v>15</v>
      </c>
      <c r="B3" s="4">
        <v>6</v>
      </c>
      <c r="C3" s="5">
        <v>24486184</v>
      </c>
      <c r="D3" s="5">
        <v>23483671</v>
      </c>
      <c r="E3" s="6">
        <f t="shared" ref="E3:E13" si="0">(C3-D3)/C3*100</f>
        <v>4.0941985897026667</v>
      </c>
      <c r="F3" s="13">
        <v>24176865</v>
      </c>
      <c r="G3" s="14">
        <f t="shared" ref="G3:G13" si="1">(C3-F3)/C3*100</f>
        <v>1.2632388942270467</v>
      </c>
      <c r="H3" s="15" t="s">
        <v>16</v>
      </c>
      <c r="I3" s="5">
        <v>24176865</v>
      </c>
      <c r="J3" s="6">
        <f t="shared" ref="J3:J13" si="2">(C3-I3)/C3*100</f>
        <v>1.2632388942270467</v>
      </c>
      <c r="K3" s="7">
        <f t="shared" ref="K3:K13" si="3">(I3-F3)/F3*100</f>
        <v>0</v>
      </c>
      <c r="L3" s="4">
        <v>3</v>
      </c>
      <c r="M3" s="5">
        <v>1059</v>
      </c>
      <c r="N3" s="4">
        <v>0</v>
      </c>
      <c r="O3" s="8">
        <v>0.02</v>
      </c>
      <c r="P3" s="9" t="str">
        <f t="shared" ref="P3:P13" si="4">IF(I3&gt;F3,"yes",IF(I3=F3,"equal","no"))</f>
        <v>equal</v>
      </c>
      <c r="Q3" s="5">
        <v>600</v>
      </c>
    </row>
    <row r="4" spans="1:17" x14ac:dyDescent="0.5">
      <c r="A4" s="3" t="s">
        <v>17</v>
      </c>
      <c r="B4" s="4">
        <v>20</v>
      </c>
      <c r="C4" s="5">
        <v>854182396</v>
      </c>
      <c r="D4" s="5">
        <v>788652600</v>
      </c>
      <c r="E4" s="6">
        <f t="shared" si="0"/>
        <v>7.6716397231862405</v>
      </c>
      <c r="F4" s="13">
        <v>848112016</v>
      </c>
      <c r="G4" s="14">
        <f t="shared" si="1"/>
        <v>0.71066554736161991</v>
      </c>
      <c r="H4" s="15" t="s">
        <v>18</v>
      </c>
      <c r="I4" s="5">
        <v>847050785</v>
      </c>
      <c r="J4" s="6">
        <f t="shared" si="2"/>
        <v>0.83490493756324147</v>
      </c>
      <c r="K4" s="7">
        <f t="shared" si="3"/>
        <v>-0.1251286363097584</v>
      </c>
      <c r="L4" s="4">
        <v>17</v>
      </c>
      <c r="M4" s="5">
        <v>9399</v>
      </c>
      <c r="N4" s="4">
        <v>0</v>
      </c>
      <c r="O4" s="8">
        <v>1.59</v>
      </c>
      <c r="P4" s="9" t="str">
        <f t="shared" si="4"/>
        <v>no</v>
      </c>
      <c r="Q4" s="5">
        <v>600</v>
      </c>
    </row>
    <row r="5" spans="1:17" x14ac:dyDescent="0.5">
      <c r="A5" s="3" t="s">
        <v>19</v>
      </c>
      <c r="B5" s="4">
        <v>12</v>
      </c>
      <c r="C5" s="5">
        <v>409498555</v>
      </c>
      <c r="D5" s="5">
        <v>396858193</v>
      </c>
      <c r="E5" s="6">
        <f t="shared" si="0"/>
        <v>3.086790379516724</v>
      </c>
      <c r="F5" s="13">
        <v>408923283</v>
      </c>
      <c r="G5" s="14">
        <f t="shared" si="1"/>
        <v>0.14048205859969395</v>
      </c>
      <c r="H5" s="15" t="s">
        <v>18</v>
      </c>
      <c r="I5" s="10">
        <v>409106516</v>
      </c>
      <c r="J5" s="11">
        <f t="shared" si="2"/>
        <v>9.5736357360284213E-2</v>
      </c>
      <c r="K5" s="7">
        <f t="shared" si="3"/>
        <v>4.480864935245079E-2</v>
      </c>
      <c r="L5" s="4">
        <v>10</v>
      </c>
      <c r="M5" s="5">
        <v>12154</v>
      </c>
      <c r="N5" s="4">
        <v>2</v>
      </c>
      <c r="O5" s="8">
        <v>22.17</v>
      </c>
      <c r="P5" s="9" t="str">
        <f t="shared" si="4"/>
        <v>yes</v>
      </c>
      <c r="Q5" s="5">
        <v>600</v>
      </c>
    </row>
    <row r="6" spans="1:17" x14ac:dyDescent="0.5">
      <c r="A6" s="3" t="s">
        <v>20</v>
      </c>
      <c r="B6" s="4">
        <v>15</v>
      </c>
      <c r="C6" s="5">
        <v>710641410</v>
      </c>
      <c r="D6" s="5">
        <v>615411415</v>
      </c>
      <c r="E6" s="6">
        <f t="shared" si="0"/>
        <v>13.40056935325511</v>
      </c>
      <c r="F6" s="13">
        <v>673426719</v>
      </c>
      <c r="G6" s="14">
        <f t="shared" si="1"/>
        <v>5.2367749017046448</v>
      </c>
      <c r="H6" s="15" t="s">
        <v>18</v>
      </c>
      <c r="I6" s="5">
        <v>669502198</v>
      </c>
      <c r="J6" s="6">
        <f t="shared" si="2"/>
        <v>5.7890254383008726</v>
      </c>
      <c r="K6" s="7">
        <f t="shared" si="3"/>
        <v>-0.58276882833334687</v>
      </c>
      <c r="L6" s="4">
        <v>14</v>
      </c>
      <c r="M6" s="5">
        <v>27387</v>
      </c>
      <c r="N6" s="4">
        <v>0</v>
      </c>
      <c r="O6" s="8">
        <v>29.38</v>
      </c>
      <c r="P6" s="9" t="str">
        <f t="shared" si="4"/>
        <v>no</v>
      </c>
      <c r="Q6" s="5">
        <v>600</v>
      </c>
    </row>
    <row r="7" spans="1:17" x14ac:dyDescent="0.5">
      <c r="A7" s="3" t="s">
        <v>21</v>
      </c>
      <c r="B7" s="4">
        <v>10</v>
      </c>
      <c r="C7" s="5">
        <v>247415730</v>
      </c>
      <c r="D7" s="5">
        <v>246138696</v>
      </c>
      <c r="E7" s="6">
        <f t="shared" si="0"/>
        <v>0.51614907427268264</v>
      </c>
      <c r="F7" s="13">
        <v>247206003</v>
      </c>
      <c r="G7" s="14">
        <f t="shared" si="1"/>
        <v>8.4767043712216689E-2</v>
      </c>
      <c r="H7" s="15" t="s">
        <v>22</v>
      </c>
      <c r="I7" s="10">
        <v>247406799</v>
      </c>
      <c r="J7" s="11">
        <f t="shared" si="2"/>
        <v>3.6097139013756322E-3</v>
      </c>
      <c r="K7" s="7">
        <f t="shared" si="3"/>
        <v>8.1226182844758826E-2</v>
      </c>
      <c r="L7" s="4">
        <v>6</v>
      </c>
      <c r="M7" s="5">
        <v>28844</v>
      </c>
      <c r="N7" s="4">
        <v>0</v>
      </c>
      <c r="O7" s="8">
        <v>5.08</v>
      </c>
      <c r="P7" s="9" t="str">
        <f t="shared" si="4"/>
        <v>yes</v>
      </c>
      <c r="Q7" s="5">
        <v>600</v>
      </c>
    </row>
    <row r="8" spans="1:17" x14ac:dyDescent="0.5">
      <c r="A8" s="3" t="s">
        <v>23</v>
      </c>
      <c r="B8" s="4">
        <v>20</v>
      </c>
      <c r="C8" s="5">
        <v>863916131</v>
      </c>
      <c r="D8" s="5">
        <v>820726048</v>
      </c>
      <c r="E8" s="6">
        <f t="shared" si="0"/>
        <v>4.9993374877728733</v>
      </c>
      <c r="F8" s="13">
        <v>858409310</v>
      </c>
      <c r="G8" s="14">
        <f t="shared" si="1"/>
        <v>0.63742541693552424</v>
      </c>
      <c r="H8" s="15" t="s">
        <v>18</v>
      </c>
      <c r="I8" s="5">
        <v>856217864</v>
      </c>
      <c r="J8" s="6">
        <f t="shared" si="2"/>
        <v>0.89108962360606747</v>
      </c>
      <c r="K8" s="7">
        <f t="shared" si="3"/>
        <v>-0.25529149957611713</v>
      </c>
      <c r="L8" s="4">
        <v>16</v>
      </c>
      <c r="M8" s="5">
        <v>8516</v>
      </c>
      <c r="N8" s="4">
        <v>0</v>
      </c>
      <c r="O8" s="8">
        <v>3.17</v>
      </c>
      <c r="P8" s="9" t="str">
        <f t="shared" si="4"/>
        <v>no</v>
      </c>
      <c r="Q8" s="5">
        <v>600</v>
      </c>
    </row>
    <row r="9" spans="1:17" x14ac:dyDescent="0.5">
      <c r="A9" s="3" t="s">
        <v>24</v>
      </c>
      <c r="B9" s="4">
        <v>12</v>
      </c>
      <c r="C9" s="5">
        <v>400653199</v>
      </c>
      <c r="D9" s="5">
        <v>392226063</v>
      </c>
      <c r="E9" s="6">
        <f t="shared" si="0"/>
        <v>2.1033492359560571</v>
      </c>
      <c r="F9" s="13">
        <v>399909961</v>
      </c>
      <c r="G9" s="14">
        <f t="shared" si="1"/>
        <v>0.18550656823783404</v>
      </c>
      <c r="H9" s="15" t="s">
        <v>22</v>
      </c>
      <c r="I9" s="10">
        <v>399973326</v>
      </c>
      <c r="J9" s="11">
        <f t="shared" si="2"/>
        <v>0.1696911447847943</v>
      </c>
      <c r="K9" s="7">
        <f t="shared" si="3"/>
        <v>1.5844816628611057E-2</v>
      </c>
      <c r="L9" s="4">
        <v>11</v>
      </c>
      <c r="M9" s="5">
        <v>49061</v>
      </c>
      <c r="N9" s="4">
        <v>0</v>
      </c>
      <c r="O9" s="8">
        <v>24.27</v>
      </c>
      <c r="P9" s="9" t="str">
        <f t="shared" si="4"/>
        <v>yes</v>
      </c>
      <c r="Q9" s="5">
        <v>600</v>
      </c>
    </row>
    <row r="10" spans="1:17" x14ac:dyDescent="0.5">
      <c r="A10" s="3" t="s">
        <v>25</v>
      </c>
      <c r="B10" s="4">
        <v>30</v>
      </c>
      <c r="C10" s="5">
        <v>57389094</v>
      </c>
      <c r="D10" s="5">
        <v>56777190</v>
      </c>
      <c r="E10" s="6">
        <f t="shared" si="0"/>
        <v>1.0662374283169551</v>
      </c>
      <c r="F10" s="13">
        <v>57253697</v>
      </c>
      <c r="G10" s="14">
        <f t="shared" si="1"/>
        <v>0.23592810160062819</v>
      </c>
      <c r="H10" s="15" t="s">
        <v>26</v>
      </c>
      <c r="I10" s="10">
        <v>57324534</v>
      </c>
      <c r="J10" s="11">
        <f t="shared" si="2"/>
        <v>0.11249524169174026</v>
      </c>
      <c r="K10" s="7">
        <f t="shared" si="3"/>
        <v>0.1237247613896444</v>
      </c>
      <c r="L10" s="4">
        <v>25</v>
      </c>
      <c r="M10" s="5">
        <v>96821</v>
      </c>
      <c r="N10" s="4">
        <v>6</v>
      </c>
      <c r="O10" s="8">
        <v>166.32</v>
      </c>
      <c r="P10" s="9" t="str">
        <f t="shared" si="4"/>
        <v>yes</v>
      </c>
      <c r="Q10" s="5">
        <v>1200</v>
      </c>
    </row>
    <row r="11" spans="1:17" x14ac:dyDescent="0.5">
      <c r="A11" s="3" t="s">
        <v>27</v>
      </c>
      <c r="B11" s="4">
        <v>30</v>
      </c>
      <c r="C11" s="5">
        <v>1648051083</v>
      </c>
      <c r="D11" s="5">
        <v>1645242774</v>
      </c>
      <c r="E11" s="6">
        <f t="shared" si="0"/>
        <v>0.17040181757521408</v>
      </c>
      <c r="F11" s="13">
        <v>1647391863</v>
      </c>
      <c r="G11" s="14">
        <f t="shared" si="1"/>
        <v>3.9999973714407007E-2</v>
      </c>
      <c r="H11" s="15" t="s">
        <v>28</v>
      </c>
      <c r="I11" s="5">
        <v>1647381288</v>
      </c>
      <c r="J11" s="6">
        <f t="shared" si="2"/>
        <v>4.0641640717880588E-2</v>
      </c>
      <c r="K11" s="7">
        <f>(I11-F11)/F11*100</f>
        <v>-6.4192377281397316E-4</v>
      </c>
      <c r="L11" s="4">
        <v>22</v>
      </c>
      <c r="M11" s="5">
        <v>18388</v>
      </c>
      <c r="N11" s="4">
        <v>0</v>
      </c>
      <c r="O11" s="8">
        <v>1.1100000000000001</v>
      </c>
      <c r="P11" s="9" t="str">
        <f t="shared" si="4"/>
        <v>no</v>
      </c>
      <c r="Q11" s="5">
        <v>600</v>
      </c>
    </row>
    <row r="12" spans="1:17" x14ac:dyDescent="0.5">
      <c r="A12" s="3" t="s">
        <v>29</v>
      </c>
      <c r="B12" s="4">
        <v>15</v>
      </c>
      <c r="C12" s="5">
        <v>1078979501</v>
      </c>
      <c r="D12" s="5">
        <v>1073327197</v>
      </c>
      <c r="E12" s="6">
        <f t="shared" si="0"/>
        <v>0.52385647686183423</v>
      </c>
      <c r="F12" s="13">
        <v>1078316053</v>
      </c>
      <c r="G12" s="14">
        <f t="shared" si="1"/>
        <v>6.1488471225367609E-2</v>
      </c>
      <c r="H12" s="15" t="s">
        <v>18</v>
      </c>
      <c r="I12" s="10">
        <v>1078669389</v>
      </c>
      <c r="J12" s="11">
        <f t="shared" si="2"/>
        <v>2.8741231850335218E-2</v>
      </c>
      <c r="K12" s="7">
        <f t="shared" si="3"/>
        <v>3.2767387540691653E-2</v>
      </c>
      <c r="L12" s="4">
        <v>10</v>
      </c>
      <c r="M12" s="5">
        <v>110225</v>
      </c>
      <c r="N12" s="4">
        <v>0</v>
      </c>
      <c r="O12" s="8">
        <v>63.44</v>
      </c>
      <c r="P12" s="9" t="str">
        <f t="shared" si="4"/>
        <v>yes</v>
      </c>
      <c r="Q12" s="5">
        <v>1200</v>
      </c>
    </row>
    <row r="13" spans="1:17" x14ac:dyDescent="0.5">
      <c r="A13" s="3" t="s">
        <v>30</v>
      </c>
      <c r="B13" s="4">
        <v>20</v>
      </c>
      <c r="C13" s="5">
        <v>1079024268</v>
      </c>
      <c r="D13" s="5">
        <v>1073530279</v>
      </c>
      <c r="E13" s="6">
        <f t="shared" si="0"/>
        <v>0.50916269104709333</v>
      </c>
      <c r="F13" s="13">
        <v>1078419238</v>
      </c>
      <c r="G13" s="14">
        <f t="shared" si="1"/>
        <v>5.6071954815385121E-2</v>
      </c>
      <c r="H13" s="15" t="s">
        <v>18</v>
      </c>
      <c r="I13" s="10">
        <v>1078712761</v>
      </c>
      <c r="J13" s="11">
        <f t="shared" si="2"/>
        <v>2.8869322890891641E-2</v>
      </c>
      <c r="K13" s="7">
        <f t="shared" si="3"/>
        <v>2.7217893529455008E-2</v>
      </c>
      <c r="L13" s="4">
        <v>10</v>
      </c>
      <c r="M13" s="5">
        <v>110624</v>
      </c>
      <c r="N13" s="4">
        <v>1</v>
      </c>
      <c r="O13" s="8">
        <v>207.87</v>
      </c>
      <c r="P13" s="9" t="str">
        <f t="shared" si="4"/>
        <v>yes</v>
      </c>
      <c r="Q13" s="5">
        <v>1800</v>
      </c>
    </row>
    <row r="14" spans="1:17" ht="27.35" x14ac:dyDescent="0.5">
      <c r="M14" s="2" t="s">
        <v>31</v>
      </c>
      <c r="N14" s="2">
        <f>SUM(N3:N13)</f>
        <v>9</v>
      </c>
      <c r="O14" s="2">
        <f>COUNTIF(P3:P13,"yes")</f>
        <v>6</v>
      </c>
      <c r="P14" s="2" t="s">
        <v>32</v>
      </c>
    </row>
    <row r="16" spans="1:17" x14ac:dyDescent="0.5">
      <c r="A16" s="12" t="s">
        <v>33</v>
      </c>
    </row>
    <row r="17" spans="1:1" x14ac:dyDescent="0.5">
      <c r="A17" s="12" t="s">
        <v>34</v>
      </c>
    </row>
    <row r="18" spans="1:1" x14ac:dyDescent="0.5">
      <c r="A18" s="12" t="s">
        <v>35</v>
      </c>
    </row>
    <row r="19" spans="1:1" x14ac:dyDescent="0.5">
      <c r="A19" s="12" t="s">
        <v>36</v>
      </c>
    </row>
    <row r="20" spans="1:1" x14ac:dyDescent="0.5">
      <c r="A20" s="12"/>
    </row>
  </sheetData>
  <mergeCells count="7">
    <mergeCell ref="I1:P1"/>
    <mergeCell ref="Q1:Q2"/>
    <mergeCell ref="A1:A2"/>
    <mergeCell ref="B1:B2"/>
    <mergeCell ref="C1:C2"/>
    <mergeCell ref="D1:E1"/>
    <mergeCell ref="F1:H1"/>
  </mergeCells>
  <pageMargins left="0.75" right="0.75" top="1" bottom="1" header="0.511811023622047" footer="0.511811023622047"/>
  <pageSetup paperSize="9" orientation="portrait" horizontalDpi="300" verticalDpi="300"/>
  <ignoredErrors>
    <ignoredError sqref="H3:H13" numberStoredAsText="1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Solutions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douglas mazzinghy</dc:creator>
  <dc:description/>
  <cp:lastModifiedBy>Douglas Mazzinghy</cp:lastModifiedBy>
  <cp:revision>0</cp:revision>
  <dcterms:created xsi:type="dcterms:W3CDTF">2025-12-23T14:26:56Z</dcterms:created>
  <dcterms:modified xsi:type="dcterms:W3CDTF">2026-10-30T11:25:16Z</dcterms:modified>
  <dc:language>en-US</dc:language>
</cp:coreProperties>
</file>