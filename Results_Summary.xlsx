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lu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+0.000;\-0.000;0.000"/>
  </numFmts>
  <fonts count="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1"/>
    </font>
    <font>
      <name val="Arial"/>
      <charset val="1"/>
      <family val="2"/>
      <sz val="11"/>
    </font>
    <font>
      <name val="Arial"/>
      <charset val="1"/>
      <family val="2"/>
      <i val="1"/>
      <sz val="10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left" vertical="center"/>
    </xf>
    <xf numFmtId="1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K11" authorId="0" shapeId="0">
      <text>
        <t>Difference smaller than the precision of the BKS, which is derived from a gap with two decimals.</t>
      </text>
    </comment>
    <comment ref="D13" authorId="0" shapeId="0">
      <text>
        <t>Value of the solution file distributed by MineLib (also adopted by Samavati et al., 2018); the results page of MineLib lists 1,073,327,197.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20"/>
  <sheetViews>
    <sheetView showFormulas="0" showGridLines="0" showRowColHeaders="1" showZeros="1" rightToLeft="0" tabSelected="1" showOutlineSymbols="1" defaultGridColor="1" view="normal" topLeftCell="A1" colorId="64" zoomScale="80" zoomScaleNormal="8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125" defaultRowHeight="14.25" zeroHeight="0" outlineLevelRow="0"/>
  <cols>
    <col width="15.94" customWidth="1" style="13" min="1" max="1"/>
    <col width="9" customWidth="1" style="13" min="2" max="2"/>
    <col width="13.71" customWidth="1" style="13" min="3" max="3"/>
    <col width="16" customWidth="1" style="13" min="4" max="4"/>
    <col width="9" customWidth="1" style="13" min="5" max="5"/>
    <col width="14.23" customWidth="1" style="13" min="6" max="6"/>
    <col width="9" customWidth="1" style="13" min="7" max="7"/>
    <col width="8" customWidth="1" style="13" min="8" max="8"/>
    <col width="13.88" customWidth="1" style="13" min="9" max="9"/>
    <col width="9" customWidth="1" style="13" min="10" max="10"/>
    <col width="10" customWidth="1" style="13" min="11" max="11"/>
    <col width="9" customWidth="1" style="13" min="12" max="12"/>
    <col width="11" customWidth="1" style="13" min="13" max="13"/>
    <col width="13" customWidth="1" style="13" min="14" max="14"/>
    <col width="10" customWidth="1" style="13" min="15" max="16"/>
    <col width="12" customWidth="1" style="13" min="17" max="17"/>
  </cols>
  <sheetData>
    <row r="1" ht="15" customHeight="1" s="14">
      <c r="A1" s="15" t="inlineStr">
        <is>
          <t>Dataset</t>
        </is>
      </c>
      <c r="B1" s="15" t="inlineStr">
        <is>
          <t>Horizon</t>
        </is>
      </c>
      <c r="C1" s="15" t="inlineStr">
        <is>
          <t>UB</t>
        </is>
      </c>
      <c r="D1" s="15" t="inlineStr">
        <is>
          <t>MineLib</t>
        </is>
      </c>
      <c r="E1" s="16" t="n"/>
      <c r="F1" s="15" t="inlineStr">
        <is>
          <t>BKS</t>
        </is>
      </c>
      <c r="G1" s="17" t="n"/>
      <c r="H1" s="16" t="n"/>
      <c r="I1" s="15" t="inlineStr">
        <is>
          <t>SD-CPIT</t>
        </is>
      </c>
      <c r="J1" s="17" t="n"/>
      <c r="K1" s="17" t="n"/>
      <c r="L1" s="17" t="n"/>
      <c r="M1" s="17" t="n"/>
      <c r="N1" s="17" t="n"/>
      <c r="O1" s="17" t="n"/>
      <c r="P1" s="16" t="n"/>
      <c r="Q1" s="15" t="inlineStr">
        <is>
          <t>Time limit per subproblem (s)</t>
        </is>
      </c>
    </row>
    <row r="2" ht="45" customHeight="1" s="14">
      <c r="A2" s="18" t="n"/>
      <c r="B2" s="18" t="n"/>
      <c r="C2" s="18" t="n"/>
      <c r="D2" s="15" t="inlineStr">
        <is>
          <t>Solution</t>
        </is>
      </c>
      <c r="E2" s="15" t="inlineStr">
        <is>
          <t>Gap (%)</t>
        </is>
      </c>
      <c r="F2" s="15" t="inlineStr">
        <is>
          <t>Solution</t>
        </is>
      </c>
      <c r="G2" s="15" t="inlineStr">
        <is>
          <t>Gap (%)</t>
        </is>
      </c>
      <c r="H2" s="15" t="inlineStr">
        <is>
          <t>Source</t>
        </is>
      </c>
      <c r="I2" s="15" t="inlineStr">
        <is>
          <t>Solution</t>
        </is>
      </c>
      <c r="J2" s="15" t="inlineStr">
        <is>
          <t>Gap (%)</t>
        </is>
      </c>
      <c r="K2" s="15" t="inlineStr">
        <is>
          <t>ΔBKS (%)</t>
        </is>
      </c>
      <c r="L2" s="15" t="inlineStr">
        <is>
          <t>Periods used</t>
        </is>
      </c>
      <c r="M2" s="15" t="inlineStr">
        <is>
          <t>Blocks extracted</t>
        </is>
      </c>
      <c r="N2" s="15" t="inlineStr">
        <is>
          <t>Subproblems at time limit</t>
        </is>
      </c>
      <c r="O2" s="15" t="inlineStr">
        <is>
          <t>Time (min)</t>
        </is>
      </c>
      <c r="P2" s="15" t="inlineStr">
        <is>
          <t>Improves BKS</t>
        </is>
      </c>
      <c r="Q2" s="18" t="n"/>
    </row>
    <row r="3" ht="14.25" customHeight="1" s="14">
      <c r="A3" s="19" t="inlineStr">
        <is>
          <t>newman1</t>
        </is>
      </c>
      <c r="B3" s="20" t="n">
        <v>6</v>
      </c>
      <c r="C3" s="21" t="n">
        <v>24486184</v>
      </c>
      <c r="D3" s="21" t="n">
        <v>23483671</v>
      </c>
      <c r="E3" s="22">
        <f>(C3-D3)/C3*100</f>
        <v/>
      </c>
      <c r="F3" s="21" t="n">
        <v>24176865</v>
      </c>
      <c r="G3" s="22">
        <f>(C3-F3)/C3*100</f>
        <v/>
      </c>
      <c r="H3" s="23" t="inlineStr">
        <is>
          <t>(4)</t>
        </is>
      </c>
      <c r="I3" s="21" t="n">
        <v>24176865</v>
      </c>
      <c r="J3" s="22">
        <f>(C3-I3)/C3*100</f>
        <v/>
      </c>
      <c r="K3" s="24">
        <f>(I3-F3)/F3*100</f>
        <v/>
      </c>
      <c r="L3" s="20" t="n">
        <v>3</v>
      </c>
      <c r="M3" s="21" t="n">
        <v>1059</v>
      </c>
      <c r="N3" s="20" t="n">
        <v>0</v>
      </c>
      <c r="O3" s="25" t="n">
        <v>0.02</v>
      </c>
      <c r="P3" s="23">
        <f>IF(I3&gt;F3,"yes",IF(I3=F3,"equal","no"))</f>
        <v/>
      </c>
      <c r="Q3" s="21" t="n">
        <v>600</v>
      </c>
    </row>
    <row r="4" ht="14.25" customHeight="1" s="14">
      <c r="A4" s="19" t="inlineStr">
        <is>
          <t>zuck_small</t>
        </is>
      </c>
      <c r="B4" s="20" t="n">
        <v>20</v>
      </c>
      <c r="C4" s="21" t="n">
        <v>854182396</v>
      </c>
      <c r="D4" s="21" t="n">
        <v>788652600</v>
      </c>
      <c r="E4" s="22">
        <f>(C4-D4)/C4*100</f>
        <v/>
      </c>
      <c r="F4" s="21" t="n">
        <v>848112016</v>
      </c>
      <c r="G4" s="22">
        <f>(C4-F4)/C4*100</f>
        <v/>
      </c>
      <c r="H4" s="23" t="inlineStr">
        <is>
          <t>(3)</t>
        </is>
      </c>
      <c r="I4" s="21" t="n">
        <v>847050785</v>
      </c>
      <c r="J4" s="22">
        <f>(C4-I4)/C4*100</f>
        <v/>
      </c>
      <c r="K4" s="24">
        <f>(I4-F4)/F4*100</f>
        <v/>
      </c>
      <c r="L4" s="20" t="n">
        <v>17</v>
      </c>
      <c r="M4" s="21" t="n">
        <v>9399</v>
      </c>
      <c r="N4" s="20" t="n">
        <v>0</v>
      </c>
      <c r="O4" s="25" t="n">
        <v>3.73</v>
      </c>
      <c r="P4" s="23">
        <f>IF(I4&gt;F4,"yes",IF(I4=F4,"equal","no"))</f>
        <v/>
      </c>
      <c r="Q4" s="21" t="n">
        <v>600</v>
      </c>
    </row>
    <row r="5" ht="14.25" customHeight="1" s="14">
      <c r="A5" s="19" t="inlineStr">
        <is>
          <t>kd</t>
        </is>
      </c>
      <c r="B5" s="20" t="n">
        <v>12</v>
      </c>
      <c r="C5" s="21" t="n">
        <v>409498555</v>
      </c>
      <c r="D5" s="21" t="n">
        <v>396858193</v>
      </c>
      <c r="E5" s="22">
        <f>(C5-D5)/C5*100</f>
        <v/>
      </c>
      <c r="F5" s="21" t="n">
        <v>408923283</v>
      </c>
      <c r="G5" s="22">
        <f>(C5-F5)/C5*100</f>
        <v/>
      </c>
      <c r="H5" s="23" t="inlineStr">
        <is>
          <t>(3)</t>
        </is>
      </c>
      <c r="I5" s="26" t="n">
        <v>409106516</v>
      </c>
      <c r="J5" s="27">
        <f>(C5-I5)/C5*100</f>
        <v/>
      </c>
      <c r="K5" s="24">
        <f>(I5-F5)/F5*100</f>
        <v/>
      </c>
      <c r="L5" s="20" t="n">
        <v>10</v>
      </c>
      <c r="M5" s="21" t="n">
        <v>12154</v>
      </c>
      <c r="N5" s="20" t="n">
        <v>2</v>
      </c>
      <c r="O5" s="25" t="n">
        <v>22.17</v>
      </c>
      <c r="P5" s="23">
        <f>IF(I5&gt;F5,"yes",IF(I5=F5,"equal","no"))</f>
        <v/>
      </c>
      <c r="Q5" s="21" t="n">
        <v>600</v>
      </c>
    </row>
    <row r="6" ht="14.25" customHeight="1" s="14">
      <c r="A6" s="19" t="inlineStr">
        <is>
          <t>zuck_medium</t>
        </is>
      </c>
      <c r="B6" s="20" t="n">
        <v>15</v>
      </c>
      <c r="C6" s="21" t="n">
        <v>710641410</v>
      </c>
      <c r="D6" s="21" t="n">
        <v>615411415</v>
      </c>
      <c r="E6" s="22">
        <f>(C6-D6)/C6*100</f>
        <v/>
      </c>
      <c r="F6" s="21" t="n">
        <v>673426719</v>
      </c>
      <c r="G6" s="22">
        <f>(C6-F6)/C6*100</f>
        <v/>
      </c>
      <c r="H6" s="23" t="inlineStr">
        <is>
          <t>(3)</t>
        </is>
      </c>
      <c r="I6" s="21" t="n">
        <v>669502198</v>
      </c>
      <c r="J6" s="22">
        <f>(C6-I6)/C6*100</f>
        <v/>
      </c>
      <c r="K6" s="24">
        <f>(I6-F6)/F6*100</f>
        <v/>
      </c>
      <c r="L6" s="20" t="n">
        <v>14</v>
      </c>
      <c r="M6" s="21" t="n">
        <v>27387</v>
      </c>
      <c r="N6" s="20" t="n">
        <v>0</v>
      </c>
      <c r="O6" s="25" t="n">
        <v>29.38</v>
      </c>
      <c r="P6" s="23">
        <f>IF(I6&gt;F6,"yes",IF(I6=F6,"equal","no"))</f>
        <v/>
      </c>
      <c r="Q6" s="21" t="n">
        <v>600</v>
      </c>
    </row>
    <row r="7" ht="14.25" customHeight="1" s="14">
      <c r="A7" s="19" t="inlineStr">
        <is>
          <t>p4hd</t>
        </is>
      </c>
      <c r="B7" s="20" t="n">
        <v>10</v>
      </c>
      <c r="C7" s="21" t="n">
        <v>247415730</v>
      </c>
      <c r="D7" s="21" t="n">
        <v>246138696</v>
      </c>
      <c r="E7" s="22">
        <f>(C7-D7)/C7*100</f>
        <v/>
      </c>
      <c r="F7" s="21" t="n">
        <v>247206003</v>
      </c>
      <c r="G7" s="22">
        <f>(C7-F7)/C7*100</f>
        <v/>
      </c>
      <c r="H7" s="23" t="inlineStr">
        <is>
          <t>(2)</t>
        </is>
      </c>
      <c r="I7" s="26" t="n">
        <v>247406799</v>
      </c>
      <c r="J7" s="27">
        <f>(C7-I7)/C7*100</f>
        <v/>
      </c>
      <c r="K7" s="24">
        <f>(I7-F7)/F7*100</f>
        <v/>
      </c>
      <c r="L7" s="20" t="n">
        <v>6</v>
      </c>
      <c r="M7" s="21" t="n">
        <v>28844</v>
      </c>
      <c r="N7" s="20" t="n">
        <v>0</v>
      </c>
      <c r="O7" s="25" t="n">
        <v>5.08</v>
      </c>
      <c r="P7" s="23">
        <f>IF(I7&gt;F7,"yes",IF(I7=F7,"equal","no"))</f>
        <v/>
      </c>
      <c r="Q7" s="21" t="n">
        <v>600</v>
      </c>
    </row>
    <row r="8" ht="14.25" customHeight="1" s="14">
      <c r="A8" s="19" t="inlineStr">
        <is>
          <t>marvin</t>
        </is>
      </c>
      <c r="B8" s="20" t="n">
        <v>20</v>
      </c>
      <c r="C8" s="21" t="n">
        <v>863916131</v>
      </c>
      <c r="D8" s="21" t="n">
        <v>820726048</v>
      </c>
      <c r="E8" s="22">
        <f>(C8-D8)/C8*100</f>
        <v/>
      </c>
      <c r="F8" s="21" t="n">
        <v>858409310</v>
      </c>
      <c r="G8" s="22">
        <f>(C8-F8)/C8*100</f>
        <v/>
      </c>
      <c r="H8" s="23" t="inlineStr">
        <is>
          <t>(3)</t>
        </is>
      </c>
      <c r="I8" s="21" t="n">
        <v>856217864</v>
      </c>
      <c r="J8" s="22">
        <f>(C8-I8)/C8*100</f>
        <v/>
      </c>
      <c r="K8" s="24">
        <f>(I8-F8)/F8*100</f>
        <v/>
      </c>
      <c r="L8" s="20" t="n">
        <v>16</v>
      </c>
      <c r="M8" s="21" t="n">
        <v>8516</v>
      </c>
      <c r="N8" s="20" t="n">
        <v>0</v>
      </c>
      <c r="O8" s="25" t="n">
        <v>3.17</v>
      </c>
      <c r="P8" s="23">
        <f>IF(I8&gt;F8,"yes",IF(I8=F8,"equal","no"))</f>
        <v/>
      </c>
      <c r="Q8" s="21" t="n">
        <v>600</v>
      </c>
    </row>
    <row r="9" ht="14.25" customHeight="1" s="14">
      <c r="A9" s="19" t="inlineStr">
        <is>
          <t>w23</t>
        </is>
      </c>
      <c r="B9" s="20" t="n">
        <v>12</v>
      </c>
      <c r="C9" s="21" t="n">
        <v>400653199</v>
      </c>
      <c r="D9" s="21" t="n">
        <v>392226063</v>
      </c>
      <c r="E9" s="22">
        <f>(C9-D9)/C9*100</f>
        <v/>
      </c>
      <c r="F9" s="21" t="n">
        <v>399909961</v>
      </c>
      <c r="G9" s="22">
        <f>(C9-F9)/C9*100</f>
        <v/>
      </c>
      <c r="H9" s="23" t="inlineStr">
        <is>
          <t>(2)</t>
        </is>
      </c>
      <c r="I9" s="26" t="n">
        <v>399973326</v>
      </c>
      <c r="J9" s="27">
        <f>(C9-I9)/C9*100</f>
        <v/>
      </c>
      <c r="K9" s="24">
        <f>(I9-F9)/F9*100</f>
        <v/>
      </c>
      <c r="L9" s="20" t="n">
        <v>11</v>
      </c>
      <c r="M9" s="21" t="n">
        <v>49061</v>
      </c>
      <c r="N9" s="20" t="n">
        <v>0</v>
      </c>
      <c r="O9" s="25" t="n">
        <v>24.27</v>
      </c>
      <c r="P9" s="23">
        <f>IF(I9&gt;F9,"yes",IF(I9=F9,"equal","no"))</f>
        <v/>
      </c>
      <c r="Q9" s="21" t="n">
        <v>600</v>
      </c>
    </row>
    <row r="10" ht="14.25" customHeight="1" s="14">
      <c r="A10" s="19" t="inlineStr">
        <is>
          <t>zuck_large</t>
        </is>
      </c>
      <c r="B10" s="20" t="n">
        <v>30</v>
      </c>
      <c r="C10" s="21" t="n">
        <v>57389094</v>
      </c>
      <c r="D10" s="21" t="n">
        <v>56777190</v>
      </c>
      <c r="E10" s="22">
        <f>(C10-D10)/C10*100</f>
        <v/>
      </c>
      <c r="F10" s="21" t="n">
        <v>57253697</v>
      </c>
      <c r="G10" s="22">
        <f>(C10-F10)/C10*100</f>
        <v/>
      </c>
      <c r="H10" s="23" t="inlineStr">
        <is>
          <t>(1)</t>
        </is>
      </c>
      <c r="I10" s="26" t="n">
        <v>57324534</v>
      </c>
      <c r="J10" s="27">
        <f>(C10-I10)/C10*100</f>
        <v/>
      </c>
      <c r="K10" s="24">
        <f>(I10-F10)/F10*100</f>
        <v/>
      </c>
      <c r="L10" s="20" t="n">
        <v>25</v>
      </c>
      <c r="M10" s="21" t="n">
        <v>96821</v>
      </c>
      <c r="N10" s="20" t="n">
        <v>6</v>
      </c>
      <c r="O10" s="25" t="n">
        <v>166.32</v>
      </c>
      <c r="P10" s="23">
        <f>IF(I10&gt;F10,"yes",IF(I10=F10,"equal","no"))</f>
        <v/>
      </c>
      <c r="Q10" s="21" t="n">
        <v>1200</v>
      </c>
    </row>
    <row r="11" ht="14.25" customHeight="1" s="14">
      <c r="A11" s="19" t="inlineStr">
        <is>
          <t>sm2</t>
        </is>
      </c>
      <c r="B11" s="20" t="n">
        <v>30</v>
      </c>
      <c r="C11" s="21" t="n">
        <v>1648051083</v>
      </c>
      <c r="D11" s="21" t="n">
        <v>1645242774</v>
      </c>
      <c r="E11" s="22">
        <f>(C11-D11)/C11*100</f>
        <v/>
      </c>
      <c r="F11" s="21" t="n">
        <v>1647391863</v>
      </c>
      <c r="G11" s="22">
        <f>(C11-F11)/C11*100</f>
        <v/>
      </c>
      <c r="H11" s="23" t="inlineStr">
        <is>
          <t>(5)</t>
        </is>
      </c>
      <c r="I11" s="21" t="n">
        <v>1647381288</v>
      </c>
      <c r="J11" s="22">
        <f>(C11-I11)/C11*100</f>
        <v/>
      </c>
      <c r="K11" s="24">
        <f>(I11-F11)/F11*100</f>
        <v/>
      </c>
      <c r="L11" s="20" t="n">
        <v>22</v>
      </c>
      <c r="M11" s="21" t="n">
        <v>18388</v>
      </c>
      <c r="N11" s="20" t="n">
        <v>0</v>
      </c>
      <c r="O11" s="25" t="n">
        <v>1.11</v>
      </c>
      <c r="P11" s="23">
        <f>IF(I11&gt;F11,"yes",IF(I11=F11,"equal","no"))</f>
        <v/>
      </c>
      <c r="Q11" s="21" t="n">
        <v>600</v>
      </c>
    </row>
    <row r="12" ht="14.25" customHeight="1" s="14">
      <c r="A12" s="19" t="inlineStr">
        <is>
          <t>mclaughlin_limit</t>
        </is>
      </c>
      <c r="B12" s="20" t="n">
        <v>15</v>
      </c>
      <c r="C12" s="21" t="n">
        <v>1078979501</v>
      </c>
      <c r="D12" s="21" t="n">
        <v>1073327197</v>
      </c>
      <c r="E12" s="22">
        <f>(C12-D12)/C12*100</f>
        <v/>
      </c>
      <c r="F12" s="21" t="n">
        <v>1078316053</v>
      </c>
      <c r="G12" s="22">
        <f>(C12-F12)/C12*100</f>
        <v/>
      </c>
      <c r="H12" s="23" t="inlineStr">
        <is>
          <t>(3)</t>
        </is>
      </c>
      <c r="I12" s="26" t="n">
        <v>1078669389</v>
      </c>
      <c r="J12" s="27">
        <f>(C12-I12)/C12*100</f>
        <v/>
      </c>
      <c r="K12" s="24">
        <f>(I12-F12)/F12*100</f>
        <v/>
      </c>
      <c r="L12" s="20" t="n">
        <v>10</v>
      </c>
      <c r="M12" s="21" t="n">
        <v>110225</v>
      </c>
      <c r="N12" s="20" t="n">
        <v>0</v>
      </c>
      <c r="O12" s="25" t="n">
        <v>63.44</v>
      </c>
      <c r="P12" s="23">
        <f>IF(I12&gt;F12,"yes",IF(I12=F12,"equal","no"))</f>
        <v/>
      </c>
      <c r="Q12" s="21" t="n">
        <v>1200</v>
      </c>
    </row>
    <row r="13" ht="14.25" customHeight="1" s="14">
      <c r="A13" s="19" t="inlineStr">
        <is>
          <t>mclaughlin</t>
        </is>
      </c>
      <c r="B13" s="20" t="n">
        <v>20</v>
      </c>
      <c r="C13" s="21" t="n">
        <v>1079024268</v>
      </c>
      <c r="D13" s="21" t="n">
        <v>1073530279</v>
      </c>
      <c r="E13" s="22">
        <f>(C13-D13)/C13*100</f>
        <v/>
      </c>
      <c r="F13" s="21" t="n">
        <v>1078419238</v>
      </c>
      <c r="G13" s="22">
        <f>(C13-F13)/C13*100</f>
        <v/>
      </c>
      <c r="H13" s="23" t="inlineStr">
        <is>
          <t>(3)</t>
        </is>
      </c>
      <c r="I13" s="26" t="n">
        <v>1078712761</v>
      </c>
      <c r="J13" s="27">
        <f>(C13-I13)/C13*100</f>
        <v/>
      </c>
      <c r="K13" s="24">
        <f>(I13-F13)/F13*100</f>
        <v/>
      </c>
      <c r="L13" s="20" t="n">
        <v>10</v>
      </c>
      <c r="M13" s="21" t="n">
        <v>110624</v>
      </c>
      <c r="N13" s="20" t="n">
        <v>1</v>
      </c>
      <c r="O13" s="25" t="n">
        <v>207.87</v>
      </c>
      <c r="P13" s="23">
        <f>IF(I13&gt;F13,"yes",IF(I13=F13,"equal","no"))</f>
        <v/>
      </c>
      <c r="Q13" s="21" t="n">
        <v>1800</v>
      </c>
    </row>
    <row r="14" ht="26.25" customHeight="1" s="14">
      <c r="M14" s="15" t="inlineStr">
        <is>
          <t>Total</t>
        </is>
      </c>
      <c r="N14" s="15">
        <f>SUM(N3:N13)</f>
        <v/>
      </c>
      <c r="O14" s="15">
        <f>COUNTIF(P3:P13,"yes")</f>
        <v/>
      </c>
      <c r="P14" s="15" t="inlineStr">
        <is>
          <t>BKS improved</t>
        </is>
      </c>
    </row>
    <row r="16" ht="14.25" customHeight="1" s="14">
      <c r="A16" s="28" t="inlineStr">
        <is>
          <t>Gap = (UB − Solution)/UB × 100, the definition used by MineLib (Eq. 12 of the paper). ΔBKS = (SD-CPIT − BKS)/BKS × 100.</t>
        </is>
      </c>
    </row>
    <row r="17" ht="14.25" customHeight="1" s="14">
      <c r="A17" s="28" t="inlineStr">
        <is>
          <t>BKS sources: (1) Jélvez et al., 2016; (2) Liu and Kozan, 2016; (3) Samavati et al., 2018; (4) Samavati et al., 2017 (gap of 1.26%), optimal value, also reported by Salazar (AMPL Optimization Inc., https://ampl.com/colab/notebooks/minelib-in-ampl-and-amplpy.html) and proved here with the complete model and Gurobi (MIPGap = 1E-6); (5) Lamghari et al., 2015, value derived from the reported gap (0.04%).</t>
        </is>
      </c>
    </row>
    <row r="18" ht="14.25" customHeight="1" s="14">
      <c r="A18" s="28" t="inlineStr">
        <is>
          <t>SD-CPIT: Gurobi Optimizer 13.0.3 through Python-MIP 2.0.0, with the default parameters of Python-MIP (relative MIP gap 1E-4 per subproblem) and the time limit per subproblem of column Q; Intel Core Ultra 7 155H, 64 GB RAM, Windows 11.</t>
        </is>
      </c>
    </row>
    <row r="19" ht="14.25" customHeight="1" s="14">
      <c r="A19" s="28" t="inlineStr">
        <is>
          <t>All SD-CPIT schedules were verified against the official MineLib .cpit and .prec files (folder schedule_validation of the repository).</t>
        </is>
      </c>
    </row>
    <row r="20" ht="14.25" customHeight="1" s="14">
      <c r="A20" s="28" t="n"/>
    </row>
  </sheetData>
  <mergeCells count="7">
    <mergeCell ref="D1:E1"/>
    <mergeCell ref="F1:H1"/>
    <mergeCell ref="C1:C2"/>
    <mergeCell ref="B1:B2"/>
    <mergeCell ref="A1:A2"/>
    <mergeCell ref="I1:P1"/>
    <mergeCell ref="Q1:Q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douglas mazzinghy</dc:creator>
  <dc:language xmlns:dc="http://purl.org/dc/elements/1.1/">en-US</dc:language>
  <dcterms:created xmlns:dcterms="http://purl.org/dc/terms/" xmlns:xsi="http://www.w3.org/2001/XMLSchema-instance" xsi:type="dcterms:W3CDTF">2025-12-23T14:26:56Z</dcterms:created>
  <dcterms:modified xmlns:dcterms="http://purl.org/dc/terms/" xmlns:xsi="http://www.w3.org/2001/XMLSchema-instance" xsi:type="dcterms:W3CDTF">2026-10-30T18:17:32Z</dcterms:modified>
  <cp:lastModifiedBy>Douglas Mazzinghy</cp:lastModifiedBy>
  <cp:revision>0</cp:revision>
</cp:coreProperties>
</file>